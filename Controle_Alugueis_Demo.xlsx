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Extrato" sheetId="3" state="visible" r:id="rId3"/>
    <sheet xmlns:r="http://schemas.openxmlformats.org/officeDocument/2006/relationships" name="Recebimentos" sheetId="4" state="visible" r:id="rId4"/>
    <sheet xmlns:r="http://schemas.openxmlformats.org/officeDocument/2006/relationships" name="Cobranças" sheetId="5" state="visible" r:id="rId5"/>
    <sheet xmlns:r="http://schemas.openxmlformats.org/officeDocument/2006/relationships" name="Contratos" sheetId="6" state="visible" r:id="rId6"/>
    <sheet xmlns:r="http://schemas.openxmlformats.org/officeDocument/2006/relationships" name="Imóveis" sheetId="7" state="visible" r:id="rId7"/>
    <sheet xmlns:r="http://schemas.openxmlformats.org/officeDocument/2006/relationships" name="Despesas" sheetId="8" state="visible" r:id="rId8"/>
    <sheet xmlns:r="http://schemas.openxmlformats.org/officeDocument/2006/relationships" name="Cobrança judicial" sheetId="9" state="visible" r:id="rId9"/>
    <sheet xmlns:r="http://schemas.openxmlformats.org/officeDocument/2006/relationships" name="Proprietários" sheetId="10" state="visible" r:id="rId10"/>
    <sheet xmlns:r="http://schemas.openxmlformats.org/officeDocument/2006/relationships" name="Repasses" sheetId="11" state="visible" r:id="rId11"/>
    <sheet xmlns:r="http://schemas.openxmlformats.org/officeDocument/2006/relationships" name="Parâmetro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[$-416]dd/mm/yyyy"/>
    <numFmt numFmtId="166" formatCode="0.0%"/>
    <numFmt numFmtId="167" formatCode="[$-416]&quot;R$&quot; #,##0.00"/>
    <numFmt numFmtId="168" formatCode="[$-416]mmm/yy"/>
    <numFmt numFmtId="169" formatCode="[$-416]0.0%"/>
  </numFmts>
  <fonts count="11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color rgb="000000FF"/>
    </font>
    <font>
      <color rgb="00008000"/>
    </font>
    <font>
      <b val="1"/>
    </font>
    <font>
      <b val="1"/>
      <color rgb="001F3864"/>
      <sz val="12"/>
    </font>
    <font>
      <b val="1"/>
      <color rgb="00C00000"/>
      <sz val="12"/>
    </font>
    <font>
      <b val="1"/>
      <color rgb="000000FF"/>
    </font>
    <font/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8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5" fontId="5" fillId="0" borderId="0" pivotButton="0" quotePrefix="0" xfId="0"/>
    <xf numFmtId="0" fontId="6" fillId="0" borderId="0" pivotButton="0" quotePrefix="0" xfId="0"/>
    <xf numFmtId="0" fontId="6" fillId="4" borderId="1" pivotButton="0" quotePrefix="0" xfId="0"/>
    <xf numFmtId="167" fontId="7" fillId="4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7" fontId="0" fillId="0" borderId="1" pivotButton="0" quotePrefix="0" xfId="0"/>
    <xf numFmtId="169" fontId="7" fillId="4" borderId="1" pivotButton="0" quotePrefix="0" xfId="0"/>
    <xf numFmtId="167" fontId="8" fillId="4" borderId="1" pivotButton="0" quotePrefix="0" xfId="0"/>
    <xf numFmtId="1" fontId="8" fillId="4" borderId="1" pivotButton="0" quotePrefix="0" xfId="0"/>
    <xf numFmtId="0" fontId="6" fillId="0" borderId="1" pivotButton="0" quotePrefix="0" xfId="0"/>
    <xf numFmtId="167" fontId="6" fillId="0" borderId="1" pivotButton="0" quotePrefix="0" xfId="0"/>
    <xf numFmtId="1" fontId="7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9" fontId="0" fillId="0" borderId="1" pivotButton="0" quotePrefix="0" xfId="0"/>
    <xf numFmtId="169" fontId="6" fillId="0" borderId="1" pivotButton="0" quotePrefix="0" xfId="0"/>
    <xf numFmtId="0" fontId="3" fillId="2" borderId="1" applyAlignment="1" pivotButton="0" quotePrefix="0" xfId="0">
      <alignment horizontal="center" wrapText="1"/>
    </xf>
    <xf numFmtId="167" fontId="5" fillId="0" borderId="1" pivotButton="0" quotePrefix="0" xfId="0"/>
    <xf numFmtId="0" fontId="9" fillId="3" borderId="0" pivotButton="0" quotePrefix="0" xfId="0"/>
    <xf numFmtId="0" fontId="5" fillId="0" borderId="0" applyAlignment="1" pivotButton="0" quotePrefix="0" xfId="0">
      <alignment horizontal="left"/>
    </xf>
    <xf numFmtId="167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8" fontId="5" fillId="0" borderId="1" pivotButton="0" quotePrefix="0" xfId="0"/>
    <xf numFmtId="165" fontId="5" fillId="0" borderId="1" applyAlignment="1" pivotButton="0" quotePrefix="0" xfId="0">
      <alignment horizontal="center"/>
    </xf>
    <xf numFmtId="0" fontId="10" fillId="0" borderId="0" pivotButton="0" quotePrefix="0" xfId="0"/>
    <xf numFmtId="167" fontId="10" fillId="0" borderId="0" applyAlignment="1" pivotButton="0" quotePrefix="0" xfId="0">
      <alignment horizontal="left"/>
    </xf>
    <xf numFmtId="167" fontId="6" fillId="0" borderId="0" applyAlignment="1" pivotButton="0" quotePrefix="0" xfId="0">
      <alignment horizontal="left"/>
    </xf>
    <xf numFmtId="0" fontId="5" fillId="0" borderId="0" pivotButton="0" quotePrefix="0" xfId="0"/>
    <xf numFmtId="9" fontId="0" fillId="0" borderId="0" applyAlignment="1" pivotButton="0" quotePrefix="0" xfId="0">
      <alignment horizontal="left"/>
    </xf>
    <xf numFmtId="167" fontId="0" fillId="0" borderId="0" pivotButton="0" quotePrefix="0" xfId="0"/>
    <xf numFmtId="165" fontId="4" fillId="0" borderId="1" pivotButton="0" quotePrefix="0" xfId="0"/>
    <xf numFmtId="0" fontId="4" fillId="0" borderId="1" pivotButton="0" quotePrefix="0" xfId="0"/>
    <xf numFmtId="167" fontId="4" fillId="0" borderId="1" pivotButton="0" quotePrefix="0" xfId="0"/>
    <xf numFmtId="168" fontId="4" fillId="0" borderId="1" pivotButton="0" quotePrefix="0" xfId="0"/>
    <xf numFmtId="165" fontId="0" fillId="0" borderId="1" pivotButton="0" quotePrefix="0" xfId="0"/>
    <xf numFmtId="0" fontId="4" fillId="3" borderId="1" pivotButton="0" quotePrefix="0" xfId="0"/>
    <xf numFmtId="167" fontId="6" fillId="0" borderId="0" pivotButton="0" quotePrefix="0" xfId="0"/>
    <xf numFmtId="0" fontId="0" fillId="0" borderId="4" pivotButton="0" quotePrefix="0" xfId="0"/>
    <xf numFmtId="0" fontId="3" fillId="2" borderId="1" pivotButton="0" quotePrefix="0" xfId="0"/>
    <xf numFmtId="9" fontId="4" fillId="0" borderId="1" pivotButton="0" quotePrefix="0" xfId="0"/>
    <xf numFmtId="9" fontId="0" fillId="0" borderId="0" pivotButton="0" quotePrefix="0" xfId="0"/>
    <xf numFmtId="167" fontId="5" fillId="0" borderId="0" pivotButton="0" quotePrefix="0" xfId="0"/>
    <xf numFmtId="165" fontId="4" fillId="3" borderId="1" pivotButton="0" quotePrefix="0" xfId="0"/>
    <xf numFmtId="9" fontId="4" fillId="3" borderId="1" pivotButton="0" quotePrefix="0" xfId="0"/>
    <xf numFmtId="166" fontId="4" fillId="3" borderId="1" pivotButton="0" quotePrefix="0" xfId="0"/>
    <xf numFmtId="1" fontId="4" fillId="3" borderId="1" pivotButton="0" quotePrefix="0" xfId="0"/>
  </cellXfs>
  <cellStyles count="1">
    <cellStyle name="Normal" xfId="0" builtinId="0" hidden="0"/>
  </cellStyles>
  <dxfs count="6">
    <dxf>
      <fill>
        <patternFill patternType="solid">
          <fgColor rgb="00F8CBAD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D9D2E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Recebido x em aberto por imóvel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'Painel'!D18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'Painel'!$A$19:$A$23</f>
            </numRef>
          </cat>
          <val>
            <numRef>
              <f>'Painel'!$D$19:$D$23</f>
            </numRef>
          </val>
        </ser>
        <ser>
          <idx val="1"/>
          <order val="1"/>
          <tx>
            <strRef>
              <f>'Painel'!E18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'Painel'!$A$19:$A$23</f>
            </numRef>
          </cat>
          <val>
            <numRef>
              <f>'Painel'!$E$19:$E$23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[$-416]&quot;R$&quot; 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25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Controle de Aluguéis: guia rápido</t>
        </is>
      </c>
    </row>
    <row r="2">
      <c r="A2" s="2" t="inlineStr">
        <is>
          <t>Exemplo com dados fictícios. Imóveis em Curitiba, contratos e valores inventados.</t>
        </is>
      </c>
    </row>
    <row r="4">
      <c r="A4" s="3" t="inlineStr">
        <is>
          <t>Cores</t>
        </is>
      </c>
      <c r="B4" s="4" t="inlineStr">
        <is>
          <t>Texto azul = digitado. Texto verde = puxado de outra aba. Preto = fórmula. Fundo amarelo = parâmetro ou campo de escolha.</t>
        </is>
      </c>
    </row>
    <row r="5">
      <c r="A5" s="3" t="inlineStr">
        <is>
          <t>Rotina do dia a dia</t>
        </is>
      </c>
      <c r="B5" s="4" t="inlineStr">
        <is>
          <t>Ao receber um aluguel, lance uma linha em Recebimentos com a data, o código da cobrança (aba Cobranças) e o valor. O resto atualiza sozinho.</t>
        </is>
      </c>
    </row>
    <row r="6">
      <c r="A6" s="3" t="inlineStr">
        <is>
          <t>Situação da cobrança</t>
        </is>
      </c>
      <c r="B6" s="4" t="inlineStr">
        <is>
          <t>Calculada automaticamente: Pago, Pago com atraso, Parcial, Em atraso ou A vencer. Quando há negociação ou processo, escolha na coluna Tratativa (lista) "Em acordo" ou "Cobrança judicial"; enquanto houver saldo, a situação passa a mostrar a tratativa. Quando o saldo é quitado, volta a mostrar Pago com atraso.</t>
        </is>
      </c>
    </row>
    <row r="7">
      <c r="A7" s="3" t="inlineStr">
        <is>
          <t>Faixa de atraso</t>
        </is>
      </c>
      <c r="B7" s="4" t="inlineStr">
        <is>
          <t>Cada cobrança com saldo é classificada em 1 a 30, 31 a 60, 61 a 90 ou mais de 90 dias. O Painel mostra a quantidade e o saldo de cada faixa.</t>
        </is>
      </c>
    </row>
    <row r="8">
      <c r="A8" s="3" t="inlineStr">
        <is>
          <t>Cobrança judicial</t>
        </is>
      </c>
      <c r="B8" s="4" t="inlineStr">
        <is>
          <t>Lance custas, honorários e diligências na aba Cobrança judicial, indicando quem pagou e se o valor pode ser pedido ao inquilino na ação. Os custos pagos pelo proprietário são descontados no repasse. Confirme os valores reembolsáveis com o advogado responsável.</t>
        </is>
      </c>
    </row>
    <row r="9">
      <c r="A9" s="3" t="inlineStr">
        <is>
          <t>Multa e juros</t>
        </is>
      </c>
      <c r="B9" s="4" t="inlineStr">
        <is>
          <t>Multa de 10% sobre o aluguel e juros de mora de 1% ao mês pro rata die (0,0333% por dia), contados do vencimento até o pagamento ou até a data de referência. Os percentuais e a tolerância ficam na aba Parâmetros e devem seguir o contrato.</t>
        </is>
      </c>
    </row>
    <row r="10">
      <c r="A10" s="3" t="inlineStr">
        <is>
          <t>Correção monetária</t>
        </is>
      </c>
      <c r="B10" s="4" t="inlineStr">
        <is>
          <t>Não incluída neste exemplo. Pode ser acrescentada pelo índice do contrato (IGP-M ou IPCA).</t>
        </is>
      </c>
    </row>
    <row r="11">
      <c r="A11" s="3" t="inlineStr">
        <is>
          <t>Taxa de administração</t>
        </is>
      </c>
      <c r="B11" s="4" t="inlineStr">
        <is>
          <t>10% sobre o valor recebido, descontada no repasse junto com as despesas e os custos judiciais pagos em nome do proprietário.</t>
        </is>
      </c>
    </row>
    <row r="12">
      <c r="A12" s="3" t="inlineStr">
        <is>
          <t>Repasses</t>
        </is>
      </c>
      <c r="B12" s="4" t="inlineStr">
        <is>
          <t>A aba Proprietários calcula o líquido de cada proprietário conforme a participação em cada imóvel. Lance cada transferência em Repasses e o saldo a repassar se atualiza. Saldo negativo indica que os custos superaram o recebido no período.</t>
        </is>
      </c>
    </row>
    <row r="13">
      <c r="A13" s="3" t="inlineStr">
        <is>
          <t>Reajuste anual</t>
        </is>
      </c>
      <c r="B13" s="4" t="inlineStr">
        <is>
          <t>A aba Contratos calcula a data do próximo reajuste pelo aniversário do contrato e destaca os que vencem em até 60 dias.</t>
        </is>
      </c>
    </row>
    <row r="14">
      <c r="A14" s="3" t="inlineStr">
        <is>
          <t>Extrato do imóvel</t>
        </is>
      </c>
      <c r="B14" s="4" t="inlineStr">
        <is>
          <t>Escolha o imóvel na célula amarela da aba Extrato: aparecem os meses, a faixa de atraso, o líquido e a divisão entre proprietários, prontos para imprimir ou enviar em PDF.</t>
        </is>
      </c>
    </row>
    <row r="15">
      <c r="A15" s="3" t="inlineStr">
        <is>
          <t>Data de referência</t>
        </is>
      </c>
      <c r="B15" s="4" t="inlineStr">
        <is>
          <t>Fixada em 28/10/2026 para o exemplo. No uso real, troque por =HOJE().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5" customWidth="1" min="3" max="3"/>
    <col width="15" customWidth="1" min="4" max="4"/>
    <col width="14" customWidth="1" min="5" max="5"/>
    <col width="13" customWidth="1" min="6" max="6"/>
    <col width="13" customWidth="1" min="7" max="7"/>
    <col width="14" customWidth="1" min="8" max="8"/>
    <col width="17" customWidth="1" min="9" max="9"/>
    <col width="13" customWidth="1" min="10" max="10"/>
    <col width="17" customWidth="1" min="11" max="11"/>
  </cols>
  <sheetData>
    <row r="1">
      <c r="A1" s="1" t="inlineStr">
        <is>
          <t>Painel da carteira de aluguéis</t>
        </is>
      </c>
    </row>
    <row r="2">
      <c r="A2" s="2" t="inlineStr">
        <is>
          <t>Exemplo com dados fictícios. Fórmulas apenas, sem macros. Abre no Excel e no Google Sheets.</t>
        </is>
      </c>
    </row>
    <row r="3">
      <c r="A3" t="inlineStr">
        <is>
          <t>Data de referência:</t>
        </is>
      </c>
      <c r="B3" s="5">
        <f>'Parâmetros'!$B$4</f>
        <v/>
      </c>
    </row>
    <row r="5">
      <c r="A5" s="6" t="inlineStr">
        <is>
          <t>Indicadores</t>
        </is>
      </c>
      <c r="D5" s="6" t="inlineStr">
        <is>
          <t>Atraso por faixa (cobranças com saldo)</t>
        </is>
      </c>
    </row>
    <row r="6">
      <c r="A6" s="7" t="inlineStr">
        <is>
          <t>Aluguel vencido até a data</t>
        </is>
      </c>
      <c r="B6" s="8">
        <f>SUMIFS('Cobranças'!$G$5:$G$34,'Cobranças'!$F$5:$F$34,"&lt;="&amp;'Parâmetros'!$B$4)</f>
        <v/>
      </c>
      <c r="D6" s="9" t="inlineStr">
        <is>
          <t>Faixa</t>
        </is>
      </c>
      <c r="E6" s="9" t="inlineStr">
        <is>
          <t>Cobranças</t>
        </is>
      </c>
      <c r="F6" s="9" t="inlineStr">
        <is>
          <t>Saldo (R$)</t>
        </is>
      </c>
    </row>
    <row r="7">
      <c r="A7" s="7" t="inlineStr">
        <is>
          <t>Aluguel recebido (sem multa e juros)</t>
        </is>
      </c>
      <c r="B7" s="8">
        <f>SUM('Cobranças'!$P$5:$P$34)</f>
        <v/>
      </c>
      <c r="D7" s="10" t="inlineStr">
        <is>
          <t>1 a 30 dias</t>
        </is>
      </c>
      <c r="E7" s="10">
        <f>COUNTIF('Cobranças'!$R$5:$R$34,D7)</f>
        <v/>
      </c>
      <c r="F7" s="11">
        <f>SUMIFS('Cobranças'!$N$5:$N$34,'Cobranças'!$R$5:$R$34,D7)</f>
        <v/>
      </c>
    </row>
    <row r="8">
      <c r="A8" s="7" t="inlineStr">
        <is>
          <t>Taxa de recebimento</t>
        </is>
      </c>
      <c r="B8" s="12">
        <f>IF(B6=0,0,B7/B6)</f>
        <v/>
      </c>
      <c r="D8" s="10" t="inlineStr">
        <is>
          <t>31 a 60 dias</t>
        </is>
      </c>
      <c r="E8" s="10">
        <f>COUNTIF('Cobranças'!$R$5:$R$34,D8)</f>
        <v/>
      </c>
      <c r="F8" s="11">
        <f>SUMIFS('Cobranças'!$N$5:$N$34,'Cobranças'!$R$5:$R$34,D8)</f>
        <v/>
      </c>
    </row>
    <row r="9">
      <c r="A9" s="7" t="inlineStr">
        <is>
          <t>Em aberto (com multa e juros)</t>
        </is>
      </c>
      <c r="B9" s="13">
        <f>SUM('Cobranças'!$N$5:$N$34)</f>
        <v/>
      </c>
      <c r="D9" s="10" t="inlineStr">
        <is>
          <t>61 a 90 dias</t>
        </is>
      </c>
      <c r="E9" s="10">
        <f>COUNTIF('Cobranças'!$R$5:$R$34,D9)</f>
        <v/>
      </c>
      <c r="F9" s="11">
        <f>SUMIFS('Cobranças'!$N$5:$N$34,'Cobranças'!$R$5:$R$34,D9)</f>
        <v/>
      </c>
    </row>
    <row r="10">
      <c r="A10" s="7" t="inlineStr">
        <is>
          <t>Cobranças em atraso ou parciais</t>
        </is>
      </c>
      <c r="B10" s="14">
        <f>COUNTIF('Cobranças'!$O$5:$O$34,"Em atraso")+COUNTIF('Cobranças'!$O$5:$O$34,"Parcial")</f>
        <v/>
      </c>
      <c r="D10" s="10" t="inlineStr">
        <is>
          <t>Mais de 90 dias</t>
        </is>
      </c>
      <c r="E10" s="10">
        <f>COUNTIF('Cobranças'!$R$5:$R$34,D10)</f>
        <v/>
      </c>
      <c r="F10" s="11">
        <f>SUMIFS('Cobranças'!$N$5:$N$34,'Cobranças'!$R$5:$R$34,D10)</f>
        <v/>
      </c>
    </row>
    <row r="11">
      <c r="A11" s="7" t="inlineStr">
        <is>
          <t>Em acordo (saldo)</t>
        </is>
      </c>
      <c r="B11" s="8">
        <f>SUMIFS('Cobranças'!$N$5:$N$34,'Cobranças'!$O$5:$O$34,"Em acordo")</f>
        <v/>
      </c>
      <c r="D11" s="15" t="inlineStr">
        <is>
          <t>Total</t>
        </is>
      </c>
      <c r="E11" s="15">
        <f>SUM(E7:E10)</f>
        <v/>
      </c>
      <c r="F11" s="16">
        <f>SUM(F7:F10)</f>
        <v/>
      </c>
    </row>
    <row r="12">
      <c r="A12" s="7" t="inlineStr">
        <is>
          <t>Em cobrança judicial (saldo)</t>
        </is>
      </c>
      <c r="B12" s="13">
        <f>SUMIFS('Cobranças'!$N$5:$N$34,'Cobranças'!$O$5:$O$34,"Cobrança judicial")</f>
        <v/>
      </c>
    </row>
    <row r="13">
      <c r="A13" s="7" t="inlineStr">
        <is>
          <t>Custos da cobrança judicial</t>
        </is>
      </c>
      <c r="B13" s="13">
        <f>SUMIFS('Cobrança judicial'!$E$5:$E$200,'Cobrança judicial'!$A$5:$A$200,"&lt;="&amp;'Parâmetros'!$B$4)</f>
        <v/>
      </c>
    </row>
    <row r="14">
      <c r="A14" s="7" t="inlineStr">
        <is>
          <t>Reajustes nos próximos 60 dias</t>
        </is>
      </c>
      <c r="B14" s="17">
        <f>COUNTIFS(Contratos!$J$5:$J$9,"&lt;=60")</f>
        <v/>
      </c>
    </row>
    <row r="15">
      <c r="A15" s="7" t="inlineStr">
        <is>
          <t>A repassar aos proprietários</t>
        </is>
      </c>
      <c r="B15" s="8">
        <f>'Proprietários'!F9</f>
        <v/>
      </c>
    </row>
    <row r="17">
      <c r="A17" s="6" t="inlineStr">
        <is>
          <t>Por imóvel</t>
        </is>
      </c>
    </row>
    <row r="18" ht="46" customHeight="1">
      <c r="A18" s="18" t="inlineStr">
        <is>
          <t>Imóvel</t>
        </is>
      </c>
      <c r="B18" s="18" t="inlineStr">
        <is>
          <t>Endereço</t>
        </is>
      </c>
      <c r="C18" s="18" t="inlineStr">
        <is>
          <t>Aluguel vencido (R$)</t>
        </is>
      </c>
      <c r="D18" s="18" t="inlineStr">
        <is>
          <t>Recebido com encargos (R$)</t>
        </is>
      </c>
      <c r="E18" s="18" t="inlineStr">
        <is>
          <t>Em aberto (R$)</t>
        </is>
      </c>
      <c r="F18" s="18" t="inlineStr">
        <is>
          <t>Taxa de adm. (R$)</t>
        </is>
      </c>
      <c r="G18" s="18" t="inlineStr">
        <is>
          <t>Despesas (R$)</t>
        </is>
      </c>
      <c r="H18" s="18" t="inlineStr">
        <is>
          <t>Custos judiciais (R$)</t>
        </is>
      </c>
      <c r="I18" s="18" t="inlineStr">
        <is>
          <t>Líquido ao proprietário (R$)</t>
        </is>
      </c>
      <c r="J18" s="18" t="inlineStr">
        <is>
          <t>Taxa de recebimento</t>
        </is>
      </c>
      <c r="K18" s="18" t="inlineStr">
        <is>
          <t>Situação</t>
        </is>
      </c>
    </row>
    <row r="19">
      <c r="A19" s="19">
        <f>'Imóveis'!A5</f>
        <v/>
      </c>
      <c r="B19" s="19">
        <f>'Imóveis'!B5&amp;" - "&amp;'Imóveis'!C5</f>
        <v/>
      </c>
      <c r="C19" s="11">
        <f>SUMIFS('Cobranças'!$G$5:$G$34,'Cobranças'!$C$5:$C$34,A19,'Cobranças'!$F$5:$F$34,"&lt;="&amp;'Parâmetros'!$B$4)</f>
        <v/>
      </c>
      <c r="D19" s="11">
        <f>SUMIFS('Cobranças'!$H$5:$H$34,'Cobranças'!$C$5:$C$34,A19)</f>
        <v/>
      </c>
      <c r="E19" s="11">
        <f>SUMIFS('Cobranças'!$N$5:$N$34,'Cobranças'!$C$5:$C$34,A19)</f>
        <v/>
      </c>
      <c r="F19" s="11">
        <f>ROUND(D19*'Parâmetros'!$B$8,2)</f>
        <v/>
      </c>
      <c r="G19" s="11">
        <f>SUMIFS(Despesas!$D$5:$D$200,Despesas!$B$5:$B$200,A19,Despesas!$A$5:$A$200,"&lt;="&amp;'Parâmetros'!$B$4)</f>
        <v/>
      </c>
      <c r="H19" s="11">
        <f>SUMIFS('Cobrança judicial'!$E$5:$E$200,'Cobrança judicial'!$B$5:$B$200,A19,'Cobrança judicial'!$F$5:$F$200,"Proprietário",'Cobrança judicial'!$A$5:$A$200,"&lt;="&amp;'Parâmetros'!$B$4)</f>
        <v/>
      </c>
      <c r="I19" s="11">
        <f>D19-F19-G19-H19</f>
        <v/>
      </c>
      <c r="J19" s="20">
        <f>IF(C19=0,0,SUMIFS('Cobranças'!$P$5:$P$34,'Cobranças'!$C$5:$C$34,A19)/C19)</f>
        <v/>
      </c>
      <c r="K19" s="10">
        <f>IF(COUNTIFS('Cobranças'!$C$5:$C$34,A19,'Cobranças'!$O$5:$O$34,"Cobrança judicial")&gt;0,"Cobrança judicial",IF(COUNTIFS('Cobranças'!$C$5:$C$34,A19,'Cobranças'!$O$5:$O$34,"Em acordo")&gt;0,"Em acordo",IF(E19&gt;0,"Em atraso","Em dia")))</f>
        <v/>
      </c>
    </row>
    <row r="20">
      <c r="A20" s="19">
        <f>'Imóveis'!A6</f>
        <v/>
      </c>
      <c r="B20" s="19">
        <f>'Imóveis'!B6&amp;" - "&amp;'Imóveis'!C6</f>
        <v/>
      </c>
      <c r="C20" s="11">
        <f>SUMIFS('Cobranças'!$G$5:$G$34,'Cobranças'!$C$5:$C$34,A20,'Cobranças'!$F$5:$F$34,"&lt;="&amp;'Parâmetros'!$B$4)</f>
        <v/>
      </c>
      <c r="D20" s="11">
        <f>SUMIFS('Cobranças'!$H$5:$H$34,'Cobranças'!$C$5:$C$34,A20)</f>
        <v/>
      </c>
      <c r="E20" s="11">
        <f>SUMIFS('Cobranças'!$N$5:$N$34,'Cobranças'!$C$5:$C$34,A20)</f>
        <v/>
      </c>
      <c r="F20" s="11">
        <f>ROUND(D20*'Parâmetros'!$B$8,2)</f>
        <v/>
      </c>
      <c r="G20" s="11">
        <f>SUMIFS(Despesas!$D$5:$D$200,Despesas!$B$5:$B$200,A20,Despesas!$A$5:$A$200,"&lt;="&amp;'Parâmetros'!$B$4)</f>
        <v/>
      </c>
      <c r="H20" s="11">
        <f>SUMIFS('Cobrança judicial'!$E$5:$E$200,'Cobrança judicial'!$B$5:$B$200,A20,'Cobrança judicial'!$F$5:$F$200,"Proprietário",'Cobrança judicial'!$A$5:$A$200,"&lt;="&amp;'Parâmetros'!$B$4)</f>
        <v/>
      </c>
      <c r="I20" s="11">
        <f>D20-F20-G20-H20</f>
        <v/>
      </c>
      <c r="J20" s="20">
        <f>IF(C20=0,0,SUMIFS('Cobranças'!$P$5:$P$34,'Cobranças'!$C$5:$C$34,A20)/C20)</f>
        <v/>
      </c>
      <c r="K20" s="10">
        <f>IF(COUNTIFS('Cobranças'!$C$5:$C$34,A20,'Cobranças'!$O$5:$O$34,"Cobrança judicial")&gt;0,"Cobrança judicial",IF(COUNTIFS('Cobranças'!$C$5:$C$34,A20,'Cobranças'!$O$5:$O$34,"Em acordo")&gt;0,"Em acordo",IF(E20&gt;0,"Em atraso","Em dia")))</f>
        <v/>
      </c>
    </row>
    <row r="21">
      <c r="A21" s="19">
        <f>'Imóveis'!A7</f>
        <v/>
      </c>
      <c r="B21" s="19">
        <f>'Imóveis'!B7&amp;" - "&amp;'Imóveis'!C7</f>
        <v/>
      </c>
      <c r="C21" s="11">
        <f>SUMIFS('Cobranças'!$G$5:$G$34,'Cobranças'!$C$5:$C$34,A21,'Cobranças'!$F$5:$F$34,"&lt;="&amp;'Parâmetros'!$B$4)</f>
        <v/>
      </c>
      <c r="D21" s="11">
        <f>SUMIFS('Cobranças'!$H$5:$H$34,'Cobranças'!$C$5:$C$34,A21)</f>
        <v/>
      </c>
      <c r="E21" s="11">
        <f>SUMIFS('Cobranças'!$N$5:$N$34,'Cobranças'!$C$5:$C$34,A21)</f>
        <v/>
      </c>
      <c r="F21" s="11">
        <f>ROUND(D21*'Parâmetros'!$B$8,2)</f>
        <v/>
      </c>
      <c r="G21" s="11">
        <f>SUMIFS(Despesas!$D$5:$D$200,Despesas!$B$5:$B$200,A21,Despesas!$A$5:$A$200,"&lt;="&amp;'Parâmetros'!$B$4)</f>
        <v/>
      </c>
      <c r="H21" s="11">
        <f>SUMIFS('Cobrança judicial'!$E$5:$E$200,'Cobrança judicial'!$B$5:$B$200,A21,'Cobrança judicial'!$F$5:$F$200,"Proprietário",'Cobrança judicial'!$A$5:$A$200,"&lt;="&amp;'Parâmetros'!$B$4)</f>
        <v/>
      </c>
      <c r="I21" s="11">
        <f>D21-F21-G21-H21</f>
        <v/>
      </c>
      <c r="J21" s="20">
        <f>IF(C21=0,0,SUMIFS('Cobranças'!$P$5:$P$34,'Cobranças'!$C$5:$C$34,A21)/C21)</f>
        <v/>
      </c>
      <c r="K21" s="10">
        <f>IF(COUNTIFS('Cobranças'!$C$5:$C$34,A21,'Cobranças'!$O$5:$O$34,"Cobrança judicial")&gt;0,"Cobrança judicial",IF(COUNTIFS('Cobranças'!$C$5:$C$34,A21,'Cobranças'!$O$5:$O$34,"Em acordo")&gt;0,"Em acordo",IF(E21&gt;0,"Em atraso","Em dia")))</f>
        <v/>
      </c>
    </row>
    <row r="22">
      <c r="A22" s="19">
        <f>'Imóveis'!A8</f>
        <v/>
      </c>
      <c r="B22" s="19">
        <f>'Imóveis'!B8&amp;" - "&amp;'Imóveis'!C8</f>
        <v/>
      </c>
      <c r="C22" s="11">
        <f>SUMIFS('Cobranças'!$G$5:$G$34,'Cobranças'!$C$5:$C$34,A22,'Cobranças'!$F$5:$F$34,"&lt;="&amp;'Parâmetros'!$B$4)</f>
        <v/>
      </c>
      <c r="D22" s="11">
        <f>SUMIFS('Cobranças'!$H$5:$H$34,'Cobranças'!$C$5:$C$34,A22)</f>
        <v/>
      </c>
      <c r="E22" s="11">
        <f>SUMIFS('Cobranças'!$N$5:$N$34,'Cobranças'!$C$5:$C$34,A22)</f>
        <v/>
      </c>
      <c r="F22" s="11">
        <f>ROUND(D22*'Parâmetros'!$B$8,2)</f>
        <v/>
      </c>
      <c r="G22" s="11">
        <f>SUMIFS(Despesas!$D$5:$D$200,Despesas!$B$5:$B$200,A22,Despesas!$A$5:$A$200,"&lt;="&amp;'Parâmetros'!$B$4)</f>
        <v/>
      </c>
      <c r="H22" s="11">
        <f>SUMIFS('Cobrança judicial'!$E$5:$E$200,'Cobrança judicial'!$B$5:$B$200,A22,'Cobrança judicial'!$F$5:$F$200,"Proprietário",'Cobrança judicial'!$A$5:$A$200,"&lt;="&amp;'Parâmetros'!$B$4)</f>
        <v/>
      </c>
      <c r="I22" s="11">
        <f>D22-F22-G22-H22</f>
        <v/>
      </c>
      <c r="J22" s="20">
        <f>IF(C22=0,0,SUMIFS('Cobranças'!$P$5:$P$34,'Cobranças'!$C$5:$C$34,A22)/C22)</f>
        <v/>
      </c>
      <c r="K22" s="10">
        <f>IF(COUNTIFS('Cobranças'!$C$5:$C$34,A22,'Cobranças'!$O$5:$O$34,"Cobrança judicial")&gt;0,"Cobrança judicial",IF(COUNTIFS('Cobranças'!$C$5:$C$34,A22,'Cobranças'!$O$5:$O$34,"Em acordo")&gt;0,"Em acordo",IF(E22&gt;0,"Em atraso","Em dia")))</f>
        <v/>
      </c>
    </row>
    <row r="23">
      <c r="A23" s="19">
        <f>'Imóveis'!A9</f>
        <v/>
      </c>
      <c r="B23" s="19">
        <f>'Imóveis'!B9&amp;" - "&amp;'Imóveis'!C9</f>
        <v/>
      </c>
      <c r="C23" s="11">
        <f>SUMIFS('Cobranças'!$G$5:$G$34,'Cobranças'!$C$5:$C$34,A23,'Cobranças'!$F$5:$F$34,"&lt;="&amp;'Parâmetros'!$B$4)</f>
        <v/>
      </c>
      <c r="D23" s="11">
        <f>SUMIFS('Cobranças'!$H$5:$H$34,'Cobranças'!$C$5:$C$34,A23)</f>
        <v/>
      </c>
      <c r="E23" s="11">
        <f>SUMIFS('Cobranças'!$N$5:$N$34,'Cobranças'!$C$5:$C$34,A23)</f>
        <v/>
      </c>
      <c r="F23" s="11">
        <f>ROUND(D23*'Parâmetros'!$B$8,2)</f>
        <v/>
      </c>
      <c r="G23" s="11">
        <f>SUMIFS(Despesas!$D$5:$D$200,Despesas!$B$5:$B$200,A23,Despesas!$A$5:$A$200,"&lt;="&amp;'Parâmetros'!$B$4)</f>
        <v/>
      </c>
      <c r="H23" s="11">
        <f>SUMIFS('Cobrança judicial'!$E$5:$E$200,'Cobrança judicial'!$B$5:$B$200,A23,'Cobrança judicial'!$F$5:$F$200,"Proprietário",'Cobrança judicial'!$A$5:$A$200,"&lt;="&amp;'Parâmetros'!$B$4)</f>
        <v/>
      </c>
      <c r="I23" s="11">
        <f>D23-F23-G23-H23</f>
        <v/>
      </c>
      <c r="J23" s="20">
        <f>IF(C23=0,0,SUMIFS('Cobranças'!$P$5:$P$34,'Cobranças'!$C$5:$C$34,A23)/C23)</f>
        <v/>
      </c>
      <c r="K23" s="10">
        <f>IF(COUNTIFS('Cobranças'!$C$5:$C$34,A23,'Cobranças'!$O$5:$O$34,"Cobrança judicial")&gt;0,"Cobrança judicial",IF(COUNTIFS('Cobranças'!$C$5:$C$34,A23,'Cobranças'!$O$5:$O$34,"Em acordo")&gt;0,"Em acordo",IF(E23&gt;0,"Em atraso","Em dia")))</f>
        <v/>
      </c>
    </row>
    <row r="24">
      <c r="A24" s="15" t="inlineStr">
        <is>
          <t>Total</t>
        </is>
      </c>
      <c r="B24" s="10" t="n"/>
      <c r="C24" s="16">
        <f>SUM(C19:C23)</f>
        <v/>
      </c>
      <c r="D24" s="16">
        <f>SUM(D19:D23)</f>
        <v/>
      </c>
      <c r="E24" s="16">
        <f>SUM(E19:E23)</f>
        <v/>
      </c>
      <c r="F24" s="16">
        <f>SUM(F19:F23)</f>
        <v/>
      </c>
      <c r="G24" s="16">
        <f>SUM(G19:G23)</f>
        <v/>
      </c>
      <c r="H24" s="16">
        <f>SUM(H19:H23)</f>
        <v/>
      </c>
      <c r="I24" s="16">
        <f>SUM(I19:I23)</f>
        <v/>
      </c>
      <c r="J24" s="21">
        <f>IF(C24=0,0,B7/C24)</f>
        <v/>
      </c>
      <c r="K24" s="10" t="n"/>
    </row>
    <row r="26">
      <c r="A26" s="6" t="inlineStr">
        <is>
          <t>Proprietários</t>
        </is>
      </c>
    </row>
    <row r="27">
      <c r="A27" s="22" t="inlineStr">
        <is>
          <t>Proprietário</t>
        </is>
      </c>
      <c r="B27" s="22" t="inlineStr">
        <is>
          <t>Líquido acumulado (R$)</t>
        </is>
      </c>
      <c r="C27" s="22" t="inlineStr">
        <is>
          <t>Já repassado (R$)</t>
        </is>
      </c>
      <c r="D27" s="22" t="inlineStr">
        <is>
          <t>A repassar (R$)</t>
        </is>
      </c>
    </row>
    <row r="28">
      <c r="A28" s="19">
        <f>'Proprietários'!A5</f>
        <v/>
      </c>
      <c r="B28" s="23">
        <f>'Proprietários'!D5</f>
        <v/>
      </c>
      <c r="C28" s="23">
        <f>'Proprietários'!E5</f>
        <v/>
      </c>
      <c r="D28" s="23">
        <f>'Proprietários'!F5</f>
        <v/>
      </c>
    </row>
    <row r="29">
      <c r="A29" s="19">
        <f>'Proprietários'!A6</f>
        <v/>
      </c>
      <c r="B29" s="23">
        <f>'Proprietários'!D6</f>
        <v/>
      </c>
      <c r="C29" s="23">
        <f>'Proprietários'!E6</f>
        <v/>
      </c>
      <c r="D29" s="23">
        <f>'Proprietários'!F6</f>
        <v/>
      </c>
    </row>
    <row r="30">
      <c r="A30" s="19">
        <f>'Proprietários'!A7</f>
        <v/>
      </c>
      <c r="B30" s="23">
        <f>'Proprietários'!D7</f>
        <v/>
      </c>
      <c r="C30" s="23">
        <f>'Proprietários'!E7</f>
        <v/>
      </c>
      <c r="D30" s="23">
        <f>'Proprietários'!F7</f>
        <v/>
      </c>
    </row>
  </sheetData>
  <conditionalFormatting sqref="K19:K23">
    <cfRule type="expression" priority="1" dxfId="0">
      <formula>$K19="Em atraso"</formula>
    </cfRule>
    <cfRule type="expression" priority="2" dxfId="1">
      <formula>$K19="Parcial"</formula>
    </cfRule>
    <cfRule type="expression" priority="3" dxfId="2">
      <formula>$K19="Em acordo"</formula>
    </cfRule>
    <cfRule type="expression" priority="4" dxfId="3">
      <formula>$K19="Cobrança judicial"</formula>
    </cfRule>
    <cfRule type="expression" priority="5" dxfId="4">
      <formula>$K19="Pago com atraso"</formula>
    </cfRule>
    <cfRule type="expression" priority="6" dxfId="5">
      <formula>$K19="Pago"</formula>
    </cfRule>
    <cfRule type="expression" priority="7" dxfId="5">
      <formula>$K19="Em dia"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2" customWidth="1" min="4" max="4"/>
    <col width="11" customWidth="1" min="5" max="5"/>
    <col width="14" customWidth="1" min="6" max="6"/>
    <col width="14" customWidth="1" min="7" max="7"/>
    <col width="17" customWidth="1" min="8" max="8"/>
    <col width="14" customWidth="1" min="9" max="9"/>
  </cols>
  <sheetData>
    <row r="1">
      <c r="A1" s="1" t="inlineStr">
        <is>
          <t>Extrato do imóvel</t>
        </is>
      </c>
    </row>
    <row r="2">
      <c r="A2" s="2" t="inlineStr">
        <is>
          <t>Escolha o imóvel na célula amarela. Pronto para imprimir em uma página A4.</t>
        </is>
      </c>
    </row>
    <row r="4">
      <c r="A4" s="6" t="inlineStr">
        <is>
          <t>Imóvel:</t>
        </is>
      </c>
      <c r="B4" s="24" t="inlineStr">
        <is>
          <t>I05</t>
        </is>
      </c>
    </row>
    <row r="5">
      <c r="A5" t="inlineStr">
        <is>
          <t>Endereço</t>
        </is>
      </c>
      <c r="B5" s="25">
        <f>INDEX('Imóveis'!$B$5:$B$9,MATCH($B$4,'Imóveis'!$A$5:$A$9,0))&amp;" - "&amp;INDEX('Imóveis'!$C$5:$C$9,MATCH($B$4,'Imóveis'!$A$5:$A$9,0))&amp;", Curitiba - PR"</f>
        <v/>
      </c>
    </row>
    <row r="6">
      <c r="A6" t="inlineStr">
        <is>
          <t>Contrato</t>
        </is>
      </c>
      <c r="B6" s="25">
        <f>INDEX(Contratos!$A$5:$A$9,MATCH($B$4,Contratos!$B$5:$B$9,0))</f>
        <v/>
      </c>
    </row>
    <row r="7">
      <c r="A7" t="inlineStr">
        <is>
          <t>Inquilino</t>
        </is>
      </c>
      <c r="B7" s="25">
        <f>INDEX(Contratos!$C$5:$C$9,MATCH($B$4,Contratos!$B$5:$B$9,0))</f>
        <v/>
      </c>
    </row>
    <row r="8">
      <c r="A8" t="inlineStr">
        <is>
          <t>Aluguel</t>
        </is>
      </c>
      <c r="B8" s="26">
        <f>INDEX(Contratos!$E$5:$E$9,MATCH($B$4,Contratos!$B$5:$B$9,0))</f>
        <v/>
      </c>
    </row>
    <row r="9">
      <c r="A9" t="inlineStr">
        <is>
          <t>Garantia</t>
        </is>
      </c>
      <c r="B9" s="25">
        <f>INDEX(Contratos!$H$5:$H$9,MATCH($B$4,Contratos!$B$5:$B$9,0))</f>
        <v/>
      </c>
    </row>
    <row r="10">
      <c r="A10" t="inlineStr">
        <is>
          <t>Próximo reajuste</t>
        </is>
      </c>
      <c r="B10" s="27">
        <f>INDEX(Contratos!$I$5:$I$9,MATCH($B$4,Contratos!$B$5:$B$9,0))</f>
        <v/>
      </c>
    </row>
    <row r="11">
      <c r="A11" t="inlineStr">
        <is>
          <t>Índice</t>
        </is>
      </c>
      <c r="B11" s="25">
        <f>INDEX(Contratos!$G$5:$G$9,MATCH($B$4,Contratos!$B$5:$B$9,0))</f>
        <v/>
      </c>
    </row>
    <row r="13" ht="32" customHeight="1">
      <c r="A13" s="18" t="inlineStr">
        <is>
          <t>Competência</t>
        </is>
      </c>
      <c r="B13" s="18" t="inlineStr">
        <is>
          <t>Vencimento</t>
        </is>
      </c>
      <c r="C13" s="18" t="inlineStr">
        <is>
          <t>Aluguel (R$)</t>
        </is>
      </c>
      <c r="D13" s="18" t="inlineStr">
        <is>
          <t>Multa (R$)</t>
        </is>
      </c>
      <c r="E13" s="18" t="inlineStr">
        <is>
          <t>Juros (R$)</t>
        </is>
      </c>
      <c r="F13" s="18" t="inlineStr">
        <is>
          <t>Recebido (R$)</t>
        </is>
      </c>
      <c r="G13" s="18" t="inlineStr">
        <is>
          <t>Saldo (R$)</t>
        </is>
      </c>
      <c r="H13" s="18" t="inlineStr">
        <is>
          <t>Situação</t>
        </is>
      </c>
      <c r="I13" s="18" t="inlineStr">
        <is>
          <t>Faixa de atraso</t>
        </is>
      </c>
    </row>
    <row r="14">
      <c r="A14" s="28">
        <f>INDEX('Cobranças'!$E$5:$E$34,MATCH($B$4,'Cobranças'!$C$5:$C$34,0)+0)</f>
        <v/>
      </c>
      <c r="B14" s="29">
        <f>INDEX('Cobranças'!$F$5:$F$34,MATCH($B$4,'Cobranças'!$C$5:$C$34,0)+0)</f>
        <v/>
      </c>
      <c r="C14" s="23">
        <f>INDEX('Cobranças'!$G$5:$G$34,MATCH($B$4,'Cobranças'!$C$5:$C$34,0)+0)</f>
        <v/>
      </c>
      <c r="D14" s="23">
        <f>INDEX('Cobranças'!$K$5:$K$34,MATCH($B$4,'Cobranças'!$C$5:$C$34,0)+0)</f>
        <v/>
      </c>
      <c r="E14" s="23">
        <f>INDEX('Cobranças'!$L$5:$L$34,MATCH($B$4,'Cobranças'!$C$5:$C$34,0)+0)</f>
        <v/>
      </c>
      <c r="F14" s="23">
        <f>INDEX('Cobranças'!$H$5:$H$34,MATCH($B$4,'Cobranças'!$C$5:$C$34,0)+0)</f>
        <v/>
      </c>
      <c r="G14" s="23">
        <f>INDEX('Cobranças'!$N$5:$N$34,MATCH($B$4,'Cobranças'!$C$5:$C$34,0)+0)</f>
        <v/>
      </c>
      <c r="H14" s="19">
        <f>INDEX('Cobranças'!$O$5:$O$34,MATCH($B$4,'Cobranças'!$C$5:$C$34,0)+0)</f>
        <v/>
      </c>
      <c r="I14" s="19">
        <f>INDEX('Cobranças'!$R$5:$R$34,MATCH($B$4,'Cobranças'!$C$5:$C$34,0)+0)</f>
        <v/>
      </c>
    </row>
    <row r="15">
      <c r="A15" s="28">
        <f>INDEX('Cobranças'!$E$5:$E$34,MATCH($B$4,'Cobranças'!$C$5:$C$34,0)+1)</f>
        <v/>
      </c>
      <c r="B15" s="29">
        <f>INDEX('Cobranças'!$F$5:$F$34,MATCH($B$4,'Cobranças'!$C$5:$C$34,0)+1)</f>
        <v/>
      </c>
      <c r="C15" s="23">
        <f>INDEX('Cobranças'!$G$5:$G$34,MATCH($B$4,'Cobranças'!$C$5:$C$34,0)+1)</f>
        <v/>
      </c>
      <c r="D15" s="23">
        <f>INDEX('Cobranças'!$K$5:$K$34,MATCH($B$4,'Cobranças'!$C$5:$C$34,0)+1)</f>
        <v/>
      </c>
      <c r="E15" s="23">
        <f>INDEX('Cobranças'!$L$5:$L$34,MATCH($B$4,'Cobranças'!$C$5:$C$34,0)+1)</f>
        <v/>
      </c>
      <c r="F15" s="23">
        <f>INDEX('Cobranças'!$H$5:$H$34,MATCH($B$4,'Cobranças'!$C$5:$C$34,0)+1)</f>
        <v/>
      </c>
      <c r="G15" s="23">
        <f>INDEX('Cobranças'!$N$5:$N$34,MATCH($B$4,'Cobranças'!$C$5:$C$34,0)+1)</f>
        <v/>
      </c>
      <c r="H15" s="19">
        <f>INDEX('Cobranças'!$O$5:$O$34,MATCH($B$4,'Cobranças'!$C$5:$C$34,0)+1)</f>
        <v/>
      </c>
      <c r="I15" s="19">
        <f>INDEX('Cobranças'!$R$5:$R$34,MATCH($B$4,'Cobranças'!$C$5:$C$34,0)+1)</f>
        <v/>
      </c>
    </row>
    <row r="16">
      <c r="A16" s="28">
        <f>INDEX('Cobranças'!$E$5:$E$34,MATCH($B$4,'Cobranças'!$C$5:$C$34,0)+2)</f>
        <v/>
      </c>
      <c r="B16" s="29">
        <f>INDEX('Cobranças'!$F$5:$F$34,MATCH($B$4,'Cobranças'!$C$5:$C$34,0)+2)</f>
        <v/>
      </c>
      <c r="C16" s="23">
        <f>INDEX('Cobranças'!$G$5:$G$34,MATCH($B$4,'Cobranças'!$C$5:$C$34,0)+2)</f>
        <v/>
      </c>
      <c r="D16" s="23">
        <f>INDEX('Cobranças'!$K$5:$K$34,MATCH($B$4,'Cobranças'!$C$5:$C$34,0)+2)</f>
        <v/>
      </c>
      <c r="E16" s="23">
        <f>INDEX('Cobranças'!$L$5:$L$34,MATCH($B$4,'Cobranças'!$C$5:$C$34,0)+2)</f>
        <v/>
      </c>
      <c r="F16" s="23">
        <f>INDEX('Cobranças'!$H$5:$H$34,MATCH($B$4,'Cobranças'!$C$5:$C$34,0)+2)</f>
        <v/>
      </c>
      <c r="G16" s="23">
        <f>INDEX('Cobranças'!$N$5:$N$34,MATCH($B$4,'Cobranças'!$C$5:$C$34,0)+2)</f>
        <v/>
      </c>
      <c r="H16" s="19">
        <f>INDEX('Cobranças'!$O$5:$O$34,MATCH($B$4,'Cobranças'!$C$5:$C$34,0)+2)</f>
        <v/>
      </c>
      <c r="I16" s="19">
        <f>INDEX('Cobranças'!$R$5:$R$34,MATCH($B$4,'Cobranças'!$C$5:$C$34,0)+2)</f>
        <v/>
      </c>
    </row>
    <row r="17">
      <c r="A17" s="28">
        <f>INDEX('Cobranças'!$E$5:$E$34,MATCH($B$4,'Cobranças'!$C$5:$C$34,0)+3)</f>
        <v/>
      </c>
      <c r="B17" s="29">
        <f>INDEX('Cobranças'!$F$5:$F$34,MATCH($B$4,'Cobranças'!$C$5:$C$34,0)+3)</f>
        <v/>
      </c>
      <c r="C17" s="23">
        <f>INDEX('Cobranças'!$G$5:$G$34,MATCH($B$4,'Cobranças'!$C$5:$C$34,0)+3)</f>
        <v/>
      </c>
      <c r="D17" s="23">
        <f>INDEX('Cobranças'!$K$5:$K$34,MATCH($B$4,'Cobranças'!$C$5:$C$34,0)+3)</f>
        <v/>
      </c>
      <c r="E17" s="23">
        <f>INDEX('Cobranças'!$L$5:$L$34,MATCH($B$4,'Cobranças'!$C$5:$C$34,0)+3)</f>
        <v/>
      </c>
      <c r="F17" s="23">
        <f>INDEX('Cobranças'!$H$5:$H$34,MATCH($B$4,'Cobranças'!$C$5:$C$34,0)+3)</f>
        <v/>
      </c>
      <c r="G17" s="23">
        <f>INDEX('Cobranças'!$N$5:$N$34,MATCH($B$4,'Cobranças'!$C$5:$C$34,0)+3)</f>
        <v/>
      </c>
      <c r="H17" s="19">
        <f>INDEX('Cobranças'!$O$5:$O$34,MATCH($B$4,'Cobranças'!$C$5:$C$34,0)+3)</f>
        <v/>
      </c>
      <c r="I17" s="19">
        <f>INDEX('Cobranças'!$R$5:$R$34,MATCH($B$4,'Cobranças'!$C$5:$C$34,0)+3)</f>
        <v/>
      </c>
    </row>
    <row r="18">
      <c r="A18" s="28">
        <f>INDEX('Cobranças'!$E$5:$E$34,MATCH($B$4,'Cobranças'!$C$5:$C$34,0)+4)</f>
        <v/>
      </c>
      <c r="B18" s="29">
        <f>INDEX('Cobranças'!$F$5:$F$34,MATCH($B$4,'Cobranças'!$C$5:$C$34,0)+4)</f>
        <v/>
      </c>
      <c r="C18" s="23">
        <f>INDEX('Cobranças'!$G$5:$G$34,MATCH($B$4,'Cobranças'!$C$5:$C$34,0)+4)</f>
        <v/>
      </c>
      <c r="D18" s="23">
        <f>INDEX('Cobranças'!$K$5:$K$34,MATCH($B$4,'Cobranças'!$C$5:$C$34,0)+4)</f>
        <v/>
      </c>
      <c r="E18" s="23">
        <f>INDEX('Cobranças'!$L$5:$L$34,MATCH($B$4,'Cobranças'!$C$5:$C$34,0)+4)</f>
        <v/>
      </c>
      <c r="F18" s="23">
        <f>INDEX('Cobranças'!$H$5:$H$34,MATCH($B$4,'Cobranças'!$C$5:$C$34,0)+4)</f>
        <v/>
      </c>
      <c r="G18" s="23">
        <f>INDEX('Cobranças'!$N$5:$N$34,MATCH($B$4,'Cobranças'!$C$5:$C$34,0)+4)</f>
        <v/>
      </c>
      <c r="H18" s="19">
        <f>INDEX('Cobranças'!$O$5:$O$34,MATCH($B$4,'Cobranças'!$C$5:$C$34,0)+4)</f>
        <v/>
      </c>
      <c r="I18" s="19">
        <f>INDEX('Cobranças'!$R$5:$R$34,MATCH($B$4,'Cobranças'!$C$5:$C$34,0)+4)</f>
        <v/>
      </c>
    </row>
    <row r="19">
      <c r="A19" s="28">
        <f>INDEX('Cobranças'!$E$5:$E$34,MATCH($B$4,'Cobranças'!$C$5:$C$34,0)+5)</f>
        <v/>
      </c>
      <c r="B19" s="29">
        <f>INDEX('Cobranças'!$F$5:$F$34,MATCH($B$4,'Cobranças'!$C$5:$C$34,0)+5)</f>
        <v/>
      </c>
      <c r="C19" s="23">
        <f>INDEX('Cobranças'!$G$5:$G$34,MATCH($B$4,'Cobranças'!$C$5:$C$34,0)+5)</f>
        <v/>
      </c>
      <c r="D19" s="23">
        <f>INDEX('Cobranças'!$K$5:$K$34,MATCH($B$4,'Cobranças'!$C$5:$C$34,0)+5)</f>
        <v/>
      </c>
      <c r="E19" s="23">
        <f>INDEX('Cobranças'!$L$5:$L$34,MATCH($B$4,'Cobranças'!$C$5:$C$34,0)+5)</f>
        <v/>
      </c>
      <c r="F19" s="23">
        <f>INDEX('Cobranças'!$H$5:$H$34,MATCH($B$4,'Cobranças'!$C$5:$C$34,0)+5)</f>
        <v/>
      </c>
      <c r="G19" s="23">
        <f>INDEX('Cobranças'!$N$5:$N$34,MATCH($B$4,'Cobranças'!$C$5:$C$34,0)+5)</f>
        <v/>
      </c>
      <c r="H19" s="19">
        <f>INDEX('Cobranças'!$O$5:$O$34,MATCH($B$4,'Cobranças'!$C$5:$C$34,0)+5)</f>
        <v/>
      </c>
      <c r="I19" s="19">
        <f>INDEX('Cobranças'!$R$5:$R$34,MATCH($B$4,'Cobranças'!$C$5:$C$34,0)+5)</f>
        <v/>
      </c>
    </row>
    <row r="20">
      <c r="A20" s="15" t="inlineStr">
        <is>
          <t>Total</t>
        </is>
      </c>
      <c r="B20" s="10" t="n"/>
      <c r="C20" s="16">
        <f>SUM(C14:C19)</f>
        <v/>
      </c>
      <c r="D20" s="16">
        <f>SUM(D14:D19)</f>
        <v/>
      </c>
      <c r="E20" s="16">
        <f>SUM(E14:E19)</f>
        <v/>
      </c>
      <c r="F20" s="16">
        <f>SUM(F14:F19)</f>
        <v/>
      </c>
      <c r="G20" s="16">
        <f>SUM(G14:G19)</f>
        <v/>
      </c>
      <c r="H20" s="10" t="n"/>
      <c r="I20" s="10" t="n"/>
    </row>
    <row r="22">
      <c r="A22" s="30" t="inlineStr">
        <is>
          <t>Recebido (aluguel, multa e juros)</t>
        </is>
      </c>
      <c r="B22" s="31">
        <f>F20</f>
        <v/>
      </c>
    </row>
    <row r="23">
      <c r="A23" s="30" t="inlineStr">
        <is>
          <t>(-) Taxa de administração</t>
        </is>
      </c>
      <c r="B23" s="31">
        <f>-ROUND(F20*'Parâmetros'!$B$8,2)</f>
        <v/>
      </c>
    </row>
    <row r="24">
      <c r="A24" s="30" t="inlineStr">
        <is>
          <t>(-) Despesas do proprietário</t>
        </is>
      </c>
      <c r="B24" s="31">
        <f>-SUMIFS(Despesas!$D$5:$D$200,Despesas!$B$5:$B$200,$B$4,Despesas!$A$5:$A$200,"&lt;="&amp;'Parâmetros'!$B$4)</f>
        <v/>
      </c>
    </row>
    <row r="25">
      <c r="A25" s="30" t="inlineStr">
        <is>
          <t>(-) Custos da cobrança judicial</t>
        </is>
      </c>
      <c r="B25" s="31">
        <f>-SUMIFS('Cobrança judicial'!$E$5:$E$200,'Cobrança judicial'!$B$5:$B$200,$B$4,'Cobrança judicial'!$F$5:$F$200,"Proprietário",'Cobrança judicial'!$A$5:$A$200,"&lt;="&amp;'Parâmetros'!$B$4)</f>
        <v/>
      </c>
    </row>
    <row r="26">
      <c r="A26" s="6" t="inlineStr">
        <is>
          <t>Líquido do proprietário</t>
        </is>
      </c>
      <c r="B26" s="32">
        <f>SUM(B22:B25)</f>
        <v/>
      </c>
    </row>
    <row r="28">
      <c r="A28" s="6" t="inlineStr">
        <is>
          <t>Divisão entre proprietários</t>
        </is>
      </c>
    </row>
    <row r="29">
      <c r="A29" s="33">
        <f>'Proprietários'!A5</f>
        <v/>
      </c>
      <c r="B29" s="34">
        <f>INDEX('Proprietários'!$H$5:$L$5,MATCH($B$4,'Proprietários'!$H$4:$L$4,0))</f>
        <v/>
      </c>
      <c r="C29" s="35">
        <f>ROUND(B29*$B$26,2)</f>
        <v/>
      </c>
    </row>
    <row r="30">
      <c r="A30" s="33">
        <f>'Proprietários'!A6</f>
        <v/>
      </c>
      <c r="B30" s="34">
        <f>INDEX('Proprietários'!$H$6:$L$6,MATCH($B$4,'Proprietários'!$H$4:$L$4,0))</f>
        <v/>
      </c>
      <c r="C30" s="35">
        <f>ROUND(B30*$B$26,2)</f>
        <v/>
      </c>
    </row>
    <row r="31">
      <c r="A31" s="33">
        <f>'Proprietários'!A7</f>
        <v/>
      </c>
      <c r="B31" s="34">
        <f>INDEX('Proprietários'!$H$7:$L$7,MATCH($B$4,'Proprietários'!$H$4:$L$4,0))</f>
        <v/>
      </c>
      <c r="C31" s="35">
        <f>ROUND(B31*$B$26,2)</f>
        <v/>
      </c>
    </row>
  </sheetData>
  <conditionalFormatting sqref="H14:H19">
    <cfRule type="expression" priority="1" dxfId="0">
      <formula>$H14="Em atraso"</formula>
    </cfRule>
    <cfRule type="expression" priority="2" dxfId="1">
      <formula>$H14="Parcial"</formula>
    </cfRule>
    <cfRule type="expression" priority="3" dxfId="2">
      <formula>$H14="Em acordo"</formula>
    </cfRule>
    <cfRule type="expression" priority="4" dxfId="3">
      <formula>$H14="Cobrança judicial"</formula>
    </cfRule>
    <cfRule type="expression" priority="5" dxfId="4">
      <formula>$H14="Pago com atraso"</formula>
    </cfRule>
    <cfRule type="expression" priority="6" dxfId="5">
      <formula>$H14="Pago"</formula>
    </cfRule>
  </conditionalFormatting>
  <dataValidations count="1">
    <dataValidation sqref="B4" showDropDown="0" showInputMessage="0" showErrorMessage="0" allowBlank="0" type="list">
      <formula1>='Imóveis'!$A$5:$A$9</formula1>
    </dataValidation>
  </dataValidation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48" customWidth="1" min="5" max="5"/>
  </cols>
  <sheetData>
    <row r="1">
      <c r="A1" s="1" t="inlineStr">
        <is>
          <t>Recebimentos</t>
        </is>
      </c>
    </row>
    <row r="2">
      <c r="A2" s="2" t="inlineStr">
        <is>
          <t>Lance aqui cada pagamento recebido. Use o código da cobrança (aba Cobranças).</t>
        </is>
      </c>
    </row>
    <row r="4" ht="32" customHeight="1">
      <c r="A4" s="18" t="inlineStr">
        <is>
          <t>Data</t>
        </is>
      </c>
      <c r="B4" s="18" t="inlineStr">
        <is>
          <t>Cobrança</t>
        </is>
      </c>
      <c r="C4" s="18" t="inlineStr">
        <is>
          <t>Valor (R$)</t>
        </is>
      </c>
      <c r="D4" s="18" t="inlineStr">
        <is>
          <t>Forma</t>
        </is>
      </c>
      <c r="E4" s="18" t="inlineStr">
        <is>
          <t>Observação</t>
        </is>
      </c>
    </row>
    <row r="5">
      <c r="A5" s="36" t="n">
        <v>46208</v>
      </c>
      <c r="B5" s="37" t="inlineStr">
        <is>
          <t>C-01</t>
        </is>
      </c>
      <c r="C5" s="38" t="n">
        <v>2800</v>
      </c>
      <c r="D5" s="37" t="inlineStr">
        <is>
          <t>Pix</t>
        </is>
      </c>
      <c r="E5" s="37" t="inlineStr"/>
    </row>
    <row r="6">
      <c r="A6" s="36" t="n">
        <v>46208</v>
      </c>
      <c r="B6" s="37" t="inlineStr">
        <is>
          <t>C-07</t>
        </is>
      </c>
      <c r="C6" s="38" t="n">
        <v>3500</v>
      </c>
      <c r="D6" s="37" t="inlineStr">
        <is>
          <t>Boleto</t>
        </is>
      </c>
      <c r="E6" s="37" t="inlineStr"/>
    </row>
    <row r="7">
      <c r="A7" s="36" t="n">
        <v>46208</v>
      </c>
      <c r="B7" s="37" t="inlineStr">
        <is>
          <t>C-19</t>
        </is>
      </c>
      <c r="C7" s="38" t="n">
        <v>4200</v>
      </c>
      <c r="D7" s="37" t="inlineStr">
        <is>
          <t>Boleto</t>
        </is>
      </c>
      <c r="E7" s="37" t="inlineStr"/>
    </row>
    <row r="8">
      <c r="A8" s="36" t="n">
        <v>46208</v>
      </c>
      <c r="B8" s="37" t="inlineStr">
        <is>
          <t>C-25</t>
        </is>
      </c>
      <c r="C8" s="38" t="n">
        <v>2300</v>
      </c>
      <c r="D8" s="37" t="inlineStr">
        <is>
          <t>Boleto</t>
        </is>
      </c>
      <c r="E8" s="37" t="inlineStr"/>
    </row>
    <row r="9">
      <c r="A9" s="36" t="n">
        <v>46213</v>
      </c>
      <c r="B9" s="37" t="inlineStr">
        <is>
          <t>C-13</t>
        </is>
      </c>
      <c r="C9" s="38" t="n">
        <v>1900</v>
      </c>
      <c r="D9" s="37" t="inlineStr">
        <is>
          <t>Pix</t>
        </is>
      </c>
      <c r="E9" s="37" t="inlineStr"/>
    </row>
    <row r="10">
      <c r="A10" s="36" t="n">
        <v>46239</v>
      </c>
      <c r="B10" s="37" t="inlineStr">
        <is>
          <t>C-02</t>
        </is>
      </c>
      <c r="C10" s="38" t="n">
        <v>2800</v>
      </c>
      <c r="D10" s="37" t="inlineStr">
        <is>
          <t>Pix</t>
        </is>
      </c>
      <c r="E10" s="37" t="inlineStr"/>
    </row>
    <row r="11">
      <c r="A11" s="36" t="n">
        <v>46239</v>
      </c>
      <c r="B11" s="37" t="inlineStr">
        <is>
          <t>C-08</t>
        </is>
      </c>
      <c r="C11" s="38" t="n">
        <v>3500</v>
      </c>
      <c r="D11" s="37" t="inlineStr">
        <is>
          <t>Boleto</t>
        </is>
      </c>
      <c r="E11" s="37" t="inlineStr"/>
    </row>
    <row r="12">
      <c r="A12" s="36" t="n">
        <v>46239</v>
      </c>
      <c r="B12" s="37" t="inlineStr">
        <is>
          <t>C-20</t>
        </is>
      </c>
      <c r="C12" s="38" t="n">
        <v>4200</v>
      </c>
      <c r="D12" s="37" t="inlineStr">
        <is>
          <t>Boleto</t>
        </is>
      </c>
      <c r="E12" s="37" t="inlineStr"/>
    </row>
    <row r="13">
      <c r="A13" s="36" t="n">
        <v>46244</v>
      </c>
      <c r="B13" s="37" t="inlineStr">
        <is>
          <t>C-14</t>
        </is>
      </c>
      <c r="C13" s="38" t="n">
        <v>1900</v>
      </c>
      <c r="D13" s="37" t="inlineStr">
        <is>
          <t>Pix</t>
        </is>
      </c>
      <c r="E13" s="37" t="inlineStr"/>
    </row>
    <row r="14">
      <c r="A14" s="36" t="n">
        <v>46270</v>
      </c>
      <c r="B14" s="37" t="inlineStr">
        <is>
          <t>C-03</t>
        </is>
      </c>
      <c r="C14" s="38" t="n">
        <v>2800</v>
      </c>
      <c r="D14" s="37" t="inlineStr">
        <is>
          <t>Pix</t>
        </is>
      </c>
      <c r="E14" s="37" t="inlineStr"/>
    </row>
    <row r="15">
      <c r="A15" s="36" t="n">
        <v>46270</v>
      </c>
      <c r="B15" s="37" t="inlineStr">
        <is>
          <t>C-09</t>
        </is>
      </c>
      <c r="C15" s="38" t="n">
        <v>3500</v>
      </c>
      <c r="D15" s="37" t="inlineStr">
        <is>
          <t>Boleto</t>
        </is>
      </c>
      <c r="E15" s="37" t="inlineStr"/>
    </row>
    <row r="16">
      <c r="A16" s="36" t="n">
        <v>46272</v>
      </c>
      <c r="B16" s="37" t="inlineStr">
        <is>
          <t>C-21</t>
        </is>
      </c>
      <c r="C16" s="38" t="n">
        <v>4622.8</v>
      </c>
      <c r="D16" s="37" t="inlineStr">
        <is>
          <t>Boleto</t>
        </is>
      </c>
      <c r="E16" s="37" t="inlineStr">
        <is>
          <t>Pago com atraso, multa e juros incluídos</t>
        </is>
      </c>
    </row>
    <row r="17">
      <c r="A17" s="36" t="n">
        <v>46275</v>
      </c>
      <c r="B17" s="37" t="inlineStr">
        <is>
          <t>C-15</t>
        </is>
      </c>
      <c r="C17" s="38" t="n">
        <v>1900</v>
      </c>
      <c r="D17" s="37" t="inlineStr">
        <is>
          <t>Pix</t>
        </is>
      </c>
      <c r="E17" s="37" t="inlineStr"/>
    </row>
    <row r="18">
      <c r="A18" s="36" t="n">
        <v>46300</v>
      </c>
      <c r="B18" s="37" t="inlineStr">
        <is>
          <t>C-04</t>
        </is>
      </c>
      <c r="C18" s="38" t="n">
        <v>2800</v>
      </c>
      <c r="D18" s="37" t="inlineStr">
        <is>
          <t>Pix</t>
        </is>
      </c>
      <c r="E18" s="37" t="inlineStr"/>
    </row>
    <row r="19">
      <c r="A19" s="36" t="n">
        <v>46305</v>
      </c>
      <c r="B19" s="37" t="inlineStr">
        <is>
          <t>C-16</t>
        </is>
      </c>
      <c r="C19" s="38" t="n">
        <v>1000</v>
      </c>
      <c r="D19" s="37" t="inlineStr">
        <is>
          <t>Pix</t>
        </is>
      </c>
      <c r="E19" s="37" t="inlineStr">
        <is>
          <t>Pagamento parcial; inquilino prometeu o restante</t>
        </is>
      </c>
    </row>
    <row r="20">
      <c r="A20" s="36" t="n">
        <v>46308</v>
      </c>
      <c r="B20" s="37" t="inlineStr">
        <is>
          <t>C-10</t>
        </is>
      </c>
      <c r="C20" s="38" t="n">
        <v>3859.33</v>
      </c>
      <c r="D20" s="37" t="inlineStr">
        <is>
          <t>Boleto</t>
        </is>
      </c>
      <c r="E20" s="37" t="inlineStr">
        <is>
          <t>Pago com atraso, multa e juros incluídos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14" customWidth="1" min="4" max="4"/>
    <col width="13" customWidth="1" min="5" max="5"/>
    <col width="12" customWidth="1" min="6" max="6"/>
    <col width="13" customWidth="1" min="7" max="7"/>
    <col width="13" customWidth="1" min="8" max="8"/>
    <col width="12" customWidth="1" min="9" max="9"/>
    <col width="9" customWidth="1" min="10" max="10"/>
    <col width="11" customWidth="1" min="11" max="11"/>
    <col width="10" customWidth="1" min="12" max="12"/>
    <col width="13" customWidth="1" min="13" max="13"/>
    <col width="13" customWidth="1" min="14" max="14"/>
    <col width="17" customWidth="1" min="15" max="15"/>
    <col width="13" customWidth="1" min="16" max="16"/>
    <col width="17" customWidth="1" min="17" max="17"/>
    <col width="14" customWidth="1" min="18" max="18"/>
    <col width="52" customWidth="1" min="19" max="19"/>
  </cols>
  <sheetData>
    <row r="1">
      <c r="A1" s="1" t="inlineStr">
        <is>
          <t>Cobranças mensais</t>
        </is>
      </c>
    </row>
    <row r="2">
      <c r="A2" s="2" t="inlineStr">
        <is>
          <t>Uma linha por contrato e mês. Multa, juros, saldo, faixa de atraso e situação são calculados. A coluna Tratativa (lista) marca acordos e cobranças judiciais.</t>
        </is>
      </c>
    </row>
    <row r="4" ht="32" customHeight="1">
      <c r="A4" s="18" t="inlineStr">
        <is>
          <t>Cobrança</t>
        </is>
      </c>
      <c r="B4" s="18" t="inlineStr">
        <is>
          <t>Contrato</t>
        </is>
      </c>
      <c r="C4" s="18" t="inlineStr">
        <is>
          <t>Imóvel</t>
        </is>
      </c>
      <c r="D4" s="18" t="inlineStr">
        <is>
          <t>Inquilino</t>
        </is>
      </c>
      <c r="E4" s="18" t="inlineStr">
        <is>
          <t>Competência</t>
        </is>
      </c>
      <c r="F4" s="18" t="inlineStr">
        <is>
          <t>Vencimento</t>
        </is>
      </c>
      <c r="G4" s="18" t="inlineStr">
        <is>
          <t>Aluguel (R$)</t>
        </is>
      </c>
      <c r="H4" s="18" t="inlineStr">
        <is>
          <t>Recebido (R$)</t>
        </is>
      </c>
      <c r="I4" s="18" t="inlineStr">
        <is>
          <t>Último pagamento</t>
        </is>
      </c>
      <c r="J4" s="18" t="inlineStr">
        <is>
          <t>Dias de atraso</t>
        </is>
      </c>
      <c r="K4" s="18" t="inlineStr">
        <is>
          <t>Multa (R$)</t>
        </is>
      </c>
      <c r="L4" s="18" t="inlineStr">
        <is>
          <t>Juros (R$)</t>
        </is>
      </c>
      <c r="M4" s="18" t="inlineStr">
        <is>
          <t>Total devido (R$)</t>
        </is>
      </c>
      <c r="N4" s="18" t="inlineStr">
        <is>
          <t>Saldo em aberto (R$)</t>
        </is>
      </c>
      <c r="O4" s="18" t="inlineStr">
        <is>
          <t>Situação</t>
        </is>
      </c>
      <c r="P4" s="18" t="inlineStr">
        <is>
          <t>Aluguel recebido (R$)</t>
        </is>
      </c>
      <c r="Q4" s="18" t="inlineStr">
        <is>
          <t>Tratativa</t>
        </is>
      </c>
      <c r="R4" s="18" t="inlineStr">
        <is>
          <t>Faixa de atraso</t>
        </is>
      </c>
      <c r="S4" s="18" t="inlineStr">
        <is>
          <t>Observação</t>
        </is>
      </c>
    </row>
    <row r="5">
      <c r="A5" s="10" t="inlineStr">
        <is>
          <t>C-01</t>
        </is>
      </c>
      <c r="B5" s="37" t="inlineStr">
        <is>
          <t>CT-01</t>
        </is>
      </c>
      <c r="C5" s="19">
        <f>INDEX(Contratos!$B$5:$B$9,MATCH(B5,Contratos!$A$5:$A$9,0))</f>
        <v/>
      </c>
      <c r="D5" s="19">
        <f>INDEX(Contratos!$C$5:$C$9,MATCH(B5,Contratos!$A$5:$A$9,0))</f>
        <v/>
      </c>
      <c r="E5" s="39" t="n">
        <v>46204</v>
      </c>
      <c r="F5" s="40">
        <f>DATE(YEAR(E5),MONTH(E5),INDEX(Contratos!$F$5:$F$9,MATCH(B5,Contratos!$A$5:$A$9,0)))</f>
        <v/>
      </c>
      <c r="G5" s="11">
        <f>INDEX(Contratos!$E$5:$E$9,MATCH(B5,Contratos!$A$5:$A$9,0))</f>
        <v/>
      </c>
      <c r="H5" s="11">
        <f>SUMIFS(Recebimentos!$C$5:$C$200,Recebimentos!$B$5:$B$200,A5)</f>
        <v/>
      </c>
      <c r="I5" s="40">
        <f>IF(H5=0,"",_xlfn.MAXIFS(Recebimentos!$A$5:$A$200,Recebimentos!$B$5:$B$200,A5))</f>
        <v/>
      </c>
      <c r="J5" s="10">
        <f>IF(F5&gt;'Parâmetros'!$B$4,0,IF(IF(I5="",FALSE,H5&gt;=G5*(1+IF(MAX(0,I5-F5)&gt;'Parâmetros'!$B$7,'Parâmetros'!$B$5,0))+IF(MAX(0,I5-F5)&gt;'Parâmetros'!$B$7,G5*'Parâmetros'!$B$6/30*MAX(0,I5-F5),0)-0.01),MAX(0,I5-F5),MAX(0,'Parâmetros'!$B$4-F5)))</f>
        <v/>
      </c>
      <c r="K5" s="11">
        <f>IF(J5&gt;'Parâmetros'!$B$7,ROUND(G5*'Parâmetros'!$B$5,2),0)</f>
        <v/>
      </c>
      <c r="L5" s="11">
        <f>IF(J5&gt;'Parâmetros'!$B$7,ROUND(G5*'Parâmetros'!$B$6/30*J5,2),0)</f>
        <v/>
      </c>
      <c r="M5" s="11">
        <f>IF(F5&gt;'Parâmetros'!$B$4,0,G5+K5+L5)</f>
        <v/>
      </c>
      <c r="N5" s="11">
        <f>MAX(0,ROUND(M5-H5,2))</f>
        <v/>
      </c>
      <c r="O5" s="10">
        <f>IF(F5&gt;'Parâmetros'!$B$4,"A vencer",IF(N5=0,IF(J5&gt;'Parâmetros'!$B$7,"Pago com atraso","Pago"),IF(Q5&lt;&gt;"",Q5,IF(H5&gt;0,"Parcial","Em atraso"))))</f>
        <v/>
      </c>
      <c r="P5" s="11">
        <f>IF(F5&gt;'Parâmetros'!$B$4,0,MIN(G5,H5))</f>
        <v/>
      </c>
      <c r="Q5" s="41" t="n"/>
      <c r="R5" s="10">
        <f>IF(N5=0,"",IF(J5&lt;=30,"1 a 30 dias",IF(J5&lt;=60,"31 a 60 dias",IF(J5&lt;=90,"61 a 90 dias","Mais de 90 dias"))))</f>
        <v/>
      </c>
      <c r="S5" s="37" t="n"/>
    </row>
    <row r="6">
      <c r="A6" s="10" t="inlineStr">
        <is>
          <t>C-02</t>
        </is>
      </c>
      <c r="B6" s="37" t="inlineStr">
        <is>
          <t>CT-01</t>
        </is>
      </c>
      <c r="C6" s="19">
        <f>INDEX(Contratos!$B$5:$B$9,MATCH(B6,Contratos!$A$5:$A$9,0))</f>
        <v/>
      </c>
      <c r="D6" s="19">
        <f>INDEX(Contratos!$C$5:$C$9,MATCH(B6,Contratos!$A$5:$A$9,0))</f>
        <v/>
      </c>
      <c r="E6" s="39" t="n">
        <v>46235</v>
      </c>
      <c r="F6" s="40">
        <f>DATE(YEAR(E6),MONTH(E6),INDEX(Contratos!$F$5:$F$9,MATCH(B6,Contratos!$A$5:$A$9,0)))</f>
        <v/>
      </c>
      <c r="G6" s="11">
        <f>INDEX(Contratos!$E$5:$E$9,MATCH(B6,Contratos!$A$5:$A$9,0))</f>
        <v/>
      </c>
      <c r="H6" s="11">
        <f>SUMIFS(Recebimentos!$C$5:$C$200,Recebimentos!$B$5:$B$200,A6)</f>
        <v/>
      </c>
      <c r="I6" s="40">
        <f>IF(H6=0,"",_xlfn.MAXIFS(Recebimentos!$A$5:$A$200,Recebimentos!$B$5:$B$200,A6))</f>
        <v/>
      </c>
      <c r="J6" s="10">
        <f>IF(F6&gt;'Parâmetros'!$B$4,0,IF(IF(I6="",FALSE,H6&gt;=G6*(1+IF(MAX(0,I6-F6)&gt;'Parâmetros'!$B$7,'Parâmetros'!$B$5,0))+IF(MAX(0,I6-F6)&gt;'Parâmetros'!$B$7,G6*'Parâmetros'!$B$6/30*MAX(0,I6-F6),0)-0.01),MAX(0,I6-F6),MAX(0,'Parâmetros'!$B$4-F6)))</f>
        <v/>
      </c>
      <c r="K6" s="11">
        <f>IF(J6&gt;'Parâmetros'!$B$7,ROUND(G6*'Parâmetros'!$B$5,2),0)</f>
        <v/>
      </c>
      <c r="L6" s="11">
        <f>IF(J6&gt;'Parâmetros'!$B$7,ROUND(G6*'Parâmetros'!$B$6/30*J6,2),0)</f>
        <v/>
      </c>
      <c r="M6" s="11">
        <f>IF(F6&gt;'Parâmetros'!$B$4,0,G6+K6+L6)</f>
        <v/>
      </c>
      <c r="N6" s="11">
        <f>MAX(0,ROUND(M6-H6,2))</f>
        <v/>
      </c>
      <c r="O6" s="10">
        <f>IF(F6&gt;'Parâmetros'!$B$4,"A vencer",IF(N6=0,IF(J6&gt;'Parâmetros'!$B$7,"Pago com atraso","Pago"),IF(Q6&lt;&gt;"",Q6,IF(H6&gt;0,"Parcial","Em atraso"))))</f>
        <v/>
      </c>
      <c r="P6" s="11">
        <f>IF(F6&gt;'Parâmetros'!$B$4,0,MIN(G6,H6))</f>
        <v/>
      </c>
      <c r="Q6" s="41" t="n"/>
      <c r="R6" s="10">
        <f>IF(N6=0,"",IF(J6&lt;=30,"1 a 30 dias",IF(J6&lt;=60,"31 a 60 dias",IF(J6&lt;=90,"61 a 90 dias","Mais de 90 dias"))))</f>
        <v/>
      </c>
      <c r="S6" s="37" t="n"/>
    </row>
    <row r="7">
      <c r="A7" s="10" t="inlineStr">
        <is>
          <t>C-03</t>
        </is>
      </c>
      <c r="B7" s="37" t="inlineStr">
        <is>
          <t>CT-01</t>
        </is>
      </c>
      <c r="C7" s="19">
        <f>INDEX(Contratos!$B$5:$B$9,MATCH(B7,Contratos!$A$5:$A$9,0))</f>
        <v/>
      </c>
      <c r="D7" s="19">
        <f>INDEX(Contratos!$C$5:$C$9,MATCH(B7,Contratos!$A$5:$A$9,0))</f>
        <v/>
      </c>
      <c r="E7" s="39" t="n">
        <v>46266</v>
      </c>
      <c r="F7" s="40">
        <f>DATE(YEAR(E7),MONTH(E7),INDEX(Contratos!$F$5:$F$9,MATCH(B7,Contratos!$A$5:$A$9,0)))</f>
        <v/>
      </c>
      <c r="G7" s="11">
        <f>INDEX(Contratos!$E$5:$E$9,MATCH(B7,Contratos!$A$5:$A$9,0))</f>
        <v/>
      </c>
      <c r="H7" s="11">
        <f>SUMIFS(Recebimentos!$C$5:$C$200,Recebimentos!$B$5:$B$200,A7)</f>
        <v/>
      </c>
      <c r="I7" s="40">
        <f>IF(H7=0,"",_xlfn.MAXIFS(Recebimentos!$A$5:$A$200,Recebimentos!$B$5:$B$200,A7))</f>
        <v/>
      </c>
      <c r="J7" s="10">
        <f>IF(F7&gt;'Parâmetros'!$B$4,0,IF(IF(I7="",FALSE,H7&gt;=G7*(1+IF(MAX(0,I7-F7)&gt;'Parâmetros'!$B$7,'Parâmetros'!$B$5,0))+IF(MAX(0,I7-F7)&gt;'Parâmetros'!$B$7,G7*'Parâmetros'!$B$6/30*MAX(0,I7-F7),0)-0.01),MAX(0,I7-F7),MAX(0,'Parâmetros'!$B$4-F7)))</f>
        <v/>
      </c>
      <c r="K7" s="11">
        <f>IF(J7&gt;'Parâmetros'!$B$7,ROUND(G7*'Parâmetros'!$B$5,2),0)</f>
        <v/>
      </c>
      <c r="L7" s="11">
        <f>IF(J7&gt;'Parâmetros'!$B$7,ROUND(G7*'Parâmetros'!$B$6/30*J7,2),0)</f>
        <v/>
      </c>
      <c r="M7" s="11">
        <f>IF(F7&gt;'Parâmetros'!$B$4,0,G7+K7+L7)</f>
        <v/>
      </c>
      <c r="N7" s="11">
        <f>MAX(0,ROUND(M7-H7,2))</f>
        <v/>
      </c>
      <c r="O7" s="10">
        <f>IF(F7&gt;'Parâmetros'!$B$4,"A vencer",IF(N7=0,IF(J7&gt;'Parâmetros'!$B$7,"Pago com atraso","Pago"),IF(Q7&lt;&gt;"",Q7,IF(H7&gt;0,"Parcial","Em atraso"))))</f>
        <v/>
      </c>
      <c r="P7" s="11">
        <f>IF(F7&gt;'Parâmetros'!$B$4,0,MIN(G7,H7))</f>
        <v/>
      </c>
      <c r="Q7" s="41" t="n"/>
      <c r="R7" s="10">
        <f>IF(N7=0,"",IF(J7&lt;=30,"1 a 30 dias",IF(J7&lt;=60,"31 a 60 dias",IF(J7&lt;=90,"61 a 90 dias","Mais de 90 dias"))))</f>
        <v/>
      </c>
      <c r="S7" s="37" t="n"/>
    </row>
    <row r="8">
      <c r="A8" s="10" t="inlineStr">
        <is>
          <t>C-04</t>
        </is>
      </c>
      <c r="B8" s="37" t="inlineStr">
        <is>
          <t>CT-01</t>
        </is>
      </c>
      <c r="C8" s="19">
        <f>INDEX(Contratos!$B$5:$B$9,MATCH(B8,Contratos!$A$5:$A$9,0))</f>
        <v/>
      </c>
      <c r="D8" s="19">
        <f>INDEX(Contratos!$C$5:$C$9,MATCH(B8,Contratos!$A$5:$A$9,0))</f>
        <v/>
      </c>
      <c r="E8" s="39" t="n">
        <v>46296</v>
      </c>
      <c r="F8" s="40">
        <f>DATE(YEAR(E8),MONTH(E8),INDEX(Contratos!$F$5:$F$9,MATCH(B8,Contratos!$A$5:$A$9,0)))</f>
        <v/>
      </c>
      <c r="G8" s="11">
        <f>INDEX(Contratos!$E$5:$E$9,MATCH(B8,Contratos!$A$5:$A$9,0))</f>
        <v/>
      </c>
      <c r="H8" s="11">
        <f>SUMIFS(Recebimentos!$C$5:$C$200,Recebimentos!$B$5:$B$200,A8)</f>
        <v/>
      </c>
      <c r="I8" s="40">
        <f>IF(H8=0,"",_xlfn.MAXIFS(Recebimentos!$A$5:$A$200,Recebimentos!$B$5:$B$200,A8))</f>
        <v/>
      </c>
      <c r="J8" s="10">
        <f>IF(F8&gt;'Parâmetros'!$B$4,0,IF(IF(I8="",FALSE,H8&gt;=G8*(1+IF(MAX(0,I8-F8)&gt;'Parâmetros'!$B$7,'Parâmetros'!$B$5,0))+IF(MAX(0,I8-F8)&gt;'Parâmetros'!$B$7,G8*'Parâmetros'!$B$6/30*MAX(0,I8-F8),0)-0.01),MAX(0,I8-F8),MAX(0,'Parâmetros'!$B$4-F8)))</f>
        <v/>
      </c>
      <c r="K8" s="11">
        <f>IF(J8&gt;'Parâmetros'!$B$7,ROUND(G8*'Parâmetros'!$B$5,2),0)</f>
        <v/>
      </c>
      <c r="L8" s="11">
        <f>IF(J8&gt;'Parâmetros'!$B$7,ROUND(G8*'Parâmetros'!$B$6/30*J8,2),0)</f>
        <v/>
      </c>
      <c r="M8" s="11">
        <f>IF(F8&gt;'Parâmetros'!$B$4,0,G8+K8+L8)</f>
        <v/>
      </c>
      <c r="N8" s="11">
        <f>MAX(0,ROUND(M8-H8,2))</f>
        <v/>
      </c>
      <c r="O8" s="10">
        <f>IF(F8&gt;'Parâmetros'!$B$4,"A vencer",IF(N8=0,IF(J8&gt;'Parâmetros'!$B$7,"Pago com atraso","Pago"),IF(Q8&lt;&gt;"",Q8,IF(H8&gt;0,"Parcial","Em atraso"))))</f>
        <v/>
      </c>
      <c r="P8" s="11">
        <f>IF(F8&gt;'Parâmetros'!$B$4,0,MIN(G8,H8))</f>
        <v/>
      </c>
      <c r="Q8" s="41" t="n"/>
      <c r="R8" s="10">
        <f>IF(N8=0,"",IF(J8&lt;=30,"1 a 30 dias",IF(J8&lt;=60,"31 a 60 dias",IF(J8&lt;=90,"61 a 90 dias","Mais de 90 dias"))))</f>
        <v/>
      </c>
      <c r="S8" s="37" t="n"/>
    </row>
    <row r="9">
      <c r="A9" s="10" t="inlineStr">
        <is>
          <t>C-05</t>
        </is>
      </c>
      <c r="B9" s="37" t="inlineStr">
        <is>
          <t>CT-01</t>
        </is>
      </c>
      <c r="C9" s="19">
        <f>INDEX(Contratos!$B$5:$B$9,MATCH(B9,Contratos!$A$5:$A$9,0))</f>
        <v/>
      </c>
      <c r="D9" s="19">
        <f>INDEX(Contratos!$C$5:$C$9,MATCH(B9,Contratos!$A$5:$A$9,0))</f>
        <v/>
      </c>
      <c r="E9" s="39" t="n">
        <v>46327</v>
      </c>
      <c r="F9" s="40">
        <f>DATE(YEAR(E9),MONTH(E9),INDEX(Contratos!$F$5:$F$9,MATCH(B9,Contratos!$A$5:$A$9,0)))</f>
        <v/>
      </c>
      <c r="G9" s="11">
        <f>INDEX(Contratos!$E$5:$E$9,MATCH(B9,Contratos!$A$5:$A$9,0))</f>
        <v/>
      </c>
      <c r="H9" s="11">
        <f>SUMIFS(Recebimentos!$C$5:$C$200,Recebimentos!$B$5:$B$200,A9)</f>
        <v/>
      </c>
      <c r="I9" s="40">
        <f>IF(H9=0,"",_xlfn.MAXIFS(Recebimentos!$A$5:$A$200,Recebimentos!$B$5:$B$200,A9))</f>
        <v/>
      </c>
      <c r="J9" s="10">
        <f>IF(F9&gt;'Parâmetros'!$B$4,0,IF(IF(I9="",FALSE,H9&gt;=G9*(1+IF(MAX(0,I9-F9)&gt;'Parâmetros'!$B$7,'Parâmetros'!$B$5,0))+IF(MAX(0,I9-F9)&gt;'Parâmetros'!$B$7,G9*'Parâmetros'!$B$6/30*MAX(0,I9-F9),0)-0.01),MAX(0,I9-F9),MAX(0,'Parâmetros'!$B$4-F9)))</f>
        <v/>
      </c>
      <c r="K9" s="11">
        <f>IF(J9&gt;'Parâmetros'!$B$7,ROUND(G9*'Parâmetros'!$B$5,2),0)</f>
        <v/>
      </c>
      <c r="L9" s="11">
        <f>IF(J9&gt;'Parâmetros'!$B$7,ROUND(G9*'Parâmetros'!$B$6/30*J9,2),0)</f>
        <v/>
      </c>
      <c r="M9" s="11">
        <f>IF(F9&gt;'Parâmetros'!$B$4,0,G9+K9+L9)</f>
        <v/>
      </c>
      <c r="N9" s="11">
        <f>MAX(0,ROUND(M9-H9,2))</f>
        <v/>
      </c>
      <c r="O9" s="10">
        <f>IF(F9&gt;'Parâmetros'!$B$4,"A vencer",IF(N9=0,IF(J9&gt;'Parâmetros'!$B$7,"Pago com atraso","Pago"),IF(Q9&lt;&gt;"",Q9,IF(H9&gt;0,"Parcial","Em atraso"))))</f>
        <v/>
      </c>
      <c r="P9" s="11">
        <f>IF(F9&gt;'Parâmetros'!$B$4,0,MIN(G9,H9))</f>
        <v/>
      </c>
      <c r="Q9" s="41" t="n"/>
      <c r="R9" s="10">
        <f>IF(N9=0,"",IF(J9&lt;=30,"1 a 30 dias",IF(J9&lt;=60,"31 a 60 dias",IF(J9&lt;=90,"61 a 90 dias","Mais de 90 dias"))))</f>
        <v/>
      </c>
      <c r="S9" s="37" t="n"/>
    </row>
    <row r="10">
      <c r="A10" s="10" t="inlineStr">
        <is>
          <t>C-06</t>
        </is>
      </c>
      <c r="B10" s="37" t="inlineStr">
        <is>
          <t>CT-01</t>
        </is>
      </c>
      <c r="C10" s="19">
        <f>INDEX(Contratos!$B$5:$B$9,MATCH(B10,Contratos!$A$5:$A$9,0))</f>
        <v/>
      </c>
      <c r="D10" s="19">
        <f>INDEX(Contratos!$C$5:$C$9,MATCH(B10,Contratos!$A$5:$A$9,0))</f>
        <v/>
      </c>
      <c r="E10" s="39" t="n">
        <v>46357</v>
      </c>
      <c r="F10" s="40">
        <f>DATE(YEAR(E10),MONTH(E10),INDEX(Contratos!$F$5:$F$9,MATCH(B10,Contratos!$A$5:$A$9,0)))</f>
        <v/>
      </c>
      <c r="G10" s="11">
        <f>INDEX(Contratos!$E$5:$E$9,MATCH(B10,Contratos!$A$5:$A$9,0))</f>
        <v/>
      </c>
      <c r="H10" s="11">
        <f>SUMIFS(Recebimentos!$C$5:$C$200,Recebimentos!$B$5:$B$200,A10)</f>
        <v/>
      </c>
      <c r="I10" s="40">
        <f>IF(H10=0,"",_xlfn.MAXIFS(Recebimentos!$A$5:$A$200,Recebimentos!$B$5:$B$200,A10))</f>
        <v/>
      </c>
      <c r="J10" s="10">
        <f>IF(F10&gt;'Parâmetros'!$B$4,0,IF(IF(I10="",FALSE,H10&gt;=G10*(1+IF(MAX(0,I10-F10)&gt;'Parâmetros'!$B$7,'Parâmetros'!$B$5,0))+IF(MAX(0,I10-F10)&gt;'Parâmetros'!$B$7,G10*'Parâmetros'!$B$6/30*MAX(0,I10-F10),0)-0.01),MAX(0,I10-F10),MAX(0,'Parâmetros'!$B$4-F10)))</f>
        <v/>
      </c>
      <c r="K10" s="11">
        <f>IF(J10&gt;'Parâmetros'!$B$7,ROUND(G10*'Parâmetros'!$B$5,2),0)</f>
        <v/>
      </c>
      <c r="L10" s="11">
        <f>IF(J10&gt;'Parâmetros'!$B$7,ROUND(G10*'Parâmetros'!$B$6/30*J10,2),0)</f>
        <v/>
      </c>
      <c r="M10" s="11">
        <f>IF(F10&gt;'Parâmetros'!$B$4,0,G10+K10+L10)</f>
        <v/>
      </c>
      <c r="N10" s="11">
        <f>MAX(0,ROUND(M10-H10,2))</f>
        <v/>
      </c>
      <c r="O10" s="10">
        <f>IF(F10&gt;'Parâmetros'!$B$4,"A vencer",IF(N10=0,IF(J10&gt;'Parâmetros'!$B$7,"Pago com atraso","Pago"),IF(Q10&lt;&gt;"",Q10,IF(H10&gt;0,"Parcial","Em atraso"))))</f>
        <v/>
      </c>
      <c r="P10" s="11">
        <f>IF(F10&gt;'Parâmetros'!$B$4,0,MIN(G10,H10))</f>
        <v/>
      </c>
      <c r="Q10" s="41" t="n"/>
      <c r="R10" s="10">
        <f>IF(N10=0,"",IF(J10&lt;=30,"1 a 30 dias",IF(J10&lt;=60,"31 a 60 dias",IF(J10&lt;=90,"61 a 90 dias","Mais de 90 dias"))))</f>
        <v/>
      </c>
      <c r="S10" s="37" t="n"/>
    </row>
    <row r="11">
      <c r="A11" s="10" t="inlineStr">
        <is>
          <t>C-07</t>
        </is>
      </c>
      <c r="B11" s="37" t="inlineStr">
        <is>
          <t>CT-02</t>
        </is>
      </c>
      <c r="C11" s="19">
        <f>INDEX(Contratos!$B$5:$B$9,MATCH(B11,Contratos!$A$5:$A$9,0))</f>
        <v/>
      </c>
      <c r="D11" s="19">
        <f>INDEX(Contratos!$C$5:$C$9,MATCH(B11,Contratos!$A$5:$A$9,0))</f>
        <v/>
      </c>
      <c r="E11" s="39" t="n">
        <v>46204</v>
      </c>
      <c r="F11" s="40">
        <f>DATE(YEAR(E11),MONTH(E11),INDEX(Contratos!$F$5:$F$9,MATCH(B11,Contratos!$A$5:$A$9,0)))</f>
        <v/>
      </c>
      <c r="G11" s="11">
        <f>INDEX(Contratos!$E$5:$E$9,MATCH(B11,Contratos!$A$5:$A$9,0))</f>
        <v/>
      </c>
      <c r="H11" s="11">
        <f>SUMIFS(Recebimentos!$C$5:$C$200,Recebimentos!$B$5:$B$200,A11)</f>
        <v/>
      </c>
      <c r="I11" s="40">
        <f>IF(H11=0,"",_xlfn.MAXIFS(Recebimentos!$A$5:$A$200,Recebimentos!$B$5:$B$200,A11))</f>
        <v/>
      </c>
      <c r="J11" s="10">
        <f>IF(F11&gt;'Parâmetros'!$B$4,0,IF(IF(I11="",FALSE,H11&gt;=G11*(1+IF(MAX(0,I11-F11)&gt;'Parâmetros'!$B$7,'Parâmetros'!$B$5,0))+IF(MAX(0,I11-F11)&gt;'Parâmetros'!$B$7,G11*'Parâmetros'!$B$6/30*MAX(0,I11-F11),0)-0.01),MAX(0,I11-F11),MAX(0,'Parâmetros'!$B$4-F11)))</f>
        <v/>
      </c>
      <c r="K11" s="11">
        <f>IF(J11&gt;'Parâmetros'!$B$7,ROUND(G11*'Parâmetros'!$B$5,2),0)</f>
        <v/>
      </c>
      <c r="L11" s="11">
        <f>IF(J11&gt;'Parâmetros'!$B$7,ROUND(G11*'Parâmetros'!$B$6/30*J11,2),0)</f>
        <v/>
      </c>
      <c r="M11" s="11">
        <f>IF(F11&gt;'Parâmetros'!$B$4,0,G11+K11+L11)</f>
        <v/>
      </c>
      <c r="N11" s="11">
        <f>MAX(0,ROUND(M11-H11,2))</f>
        <v/>
      </c>
      <c r="O11" s="10">
        <f>IF(F11&gt;'Parâmetros'!$B$4,"A vencer",IF(N11=0,IF(J11&gt;'Parâmetros'!$B$7,"Pago com atraso","Pago"),IF(Q11&lt;&gt;"",Q11,IF(H11&gt;0,"Parcial","Em atraso"))))</f>
        <v/>
      </c>
      <c r="P11" s="11">
        <f>IF(F11&gt;'Parâmetros'!$B$4,0,MIN(G11,H11))</f>
        <v/>
      </c>
      <c r="Q11" s="41" t="n"/>
      <c r="R11" s="10">
        <f>IF(N11=0,"",IF(J11&lt;=30,"1 a 30 dias",IF(J11&lt;=60,"31 a 60 dias",IF(J11&lt;=90,"61 a 90 dias","Mais de 90 dias"))))</f>
        <v/>
      </c>
      <c r="S11" s="37" t="n"/>
    </row>
    <row r="12">
      <c r="A12" s="10" t="inlineStr">
        <is>
          <t>C-08</t>
        </is>
      </c>
      <c r="B12" s="37" t="inlineStr">
        <is>
          <t>CT-02</t>
        </is>
      </c>
      <c r="C12" s="19">
        <f>INDEX(Contratos!$B$5:$B$9,MATCH(B12,Contratos!$A$5:$A$9,0))</f>
        <v/>
      </c>
      <c r="D12" s="19">
        <f>INDEX(Contratos!$C$5:$C$9,MATCH(B12,Contratos!$A$5:$A$9,0))</f>
        <v/>
      </c>
      <c r="E12" s="39" t="n">
        <v>46235</v>
      </c>
      <c r="F12" s="40">
        <f>DATE(YEAR(E12),MONTH(E12),INDEX(Contratos!$F$5:$F$9,MATCH(B12,Contratos!$A$5:$A$9,0)))</f>
        <v/>
      </c>
      <c r="G12" s="11">
        <f>INDEX(Contratos!$E$5:$E$9,MATCH(B12,Contratos!$A$5:$A$9,0))</f>
        <v/>
      </c>
      <c r="H12" s="11">
        <f>SUMIFS(Recebimentos!$C$5:$C$200,Recebimentos!$B$5:$B$200,A12)</f>
        <v/>
      </c>
      <c r="I12" s="40">
        <f>IF(H12=0,"",_xlfn.MAXIFS(Recebimentos!$A$5:$A$200,Recebimentos!$B$5:$B$200,A12))</f>
        <v/>
      </c>
      <c r="J12" s="10">
        <f>IF(F12&gt;'Parâmetros'!$B$4,0,IF(IF(I12="",FALSE,H12&gt;=G12*(1+IF(MAX(0,I12-F12)&gt;'Parâmetros'!$B$7,'Parâmetros'!$B$5,0))+IF(MAX(0,I12-F12)&gt;'Parâmetros'!$B$7,G12*'Parâmetros'!$B$6/30*MAX(0,I12-F12),0)-0.01),MAX(0,I12-F12),MAX(0,'Parâmetros'!$B$4-F12)))</f>
        <v/>
      </c>
      <c r="K12" s="11">
        <f>IF(J12&gt;'Parâmetros'!$B$7,ROUND(G12*'Parâmetros'!$B$5,2),0)</f>
        <v/>
      </c>
      <c r="L12" s="11">
        <f>IF(J12&gt;'Parâmetros'!$B$7,ROUND(G12*'Parâmetros'!$B$6/30*J12,2),0)</f>
        <v/>
      </c>
      <c r="M12" s="11">
        <f>IF(F12&gt;'Parâmetros'!$B$4,0,G12+K12+L12)</f>
        <v/>
      </c>
      <c r="N12" s="11">
        <f>MAX(0,ROUND(M12-H12,2))</f>
        <v/>
      </c>
      <c r="O12" s="10">
        <f>IF(F12&gt;'Parâmetros'!$B$4,"A vencer",IF(N12=0,IF(J12&gt;'Parâmetros'!$B$7,"Pago com atraso","Pago"),IF(Q12&lt;&gt;"",Q12,IF(H12&gt;0,"Parcial","Em atraso"))))</f>
        <v/>
      </c>
      <c r="P12" s="11">
        <f>IF(F12&gt;'Parâmetros'!$B$4,0,MIN(G12,H12))</f>
        <v/>
      </c>
      <c r="Q12" s="41" t="n"/>
      <c r="R12" s="10">
        <f>IF(N12=0,"",IF(J12&lt;=30,"1 a 30 dias",IF(J12&lt;=60,"31 a 60 dias",IF(J12&lt;=90,"61 a 90 dias","Mais de 90 dias"))))</f>
        <v/>
      </c>
      <c r="S12" s="37" t="n"/>
    </row>
    <row r="13">
      <c r="A13" s="10" t="inlineStr">
        <is>
          <t>C-09</t>
        </is>
      </c>
      <c r="B13" s="37" t="inlineStr">
        <is>
          <t>CT-02</t>
        </is>
      </c>
      <c r="C13" s="19">
        <f>INDEX(Contratos!$B$5:$B$9,MATCH(B13,Contratos!$A$5:$A$9,0))</f>
        <v/>
      </c>
      <c r="D13" s="19">
        <f>INDEX(Contratos!$C$5:$C$9,MATCH(B13,Contratos!$A$5:$A$9,0))</f>
        <v/>
      </c>
      <c r="E13" s="39" t="n">
        <v>46266</v>
      </c>
      <c r="F13" s="40">
        <f>DATE(YEAR(E13),MONTH(E13),INDEX(Contratos!$F$5:$F$9,MATCH(B13,Contratos!$A$5:$A$9,0)))</f>
        <v/>
      </c>
      <c r="G13" s="11">
        <f>INDEX(Contratos!$E$5:$E$9,MATCH(B13,Contratos!$A$5:$A$9,0))</f>
        <v/>
      </c>
      <c r="H13" s="11">
        <f>SUMIFS(Recebimentos!$C$5:$C$200,Recebimentos!$B$5:$B$200,A13)</f>
        <v/>
      </c>
      <c r="I13" s="40">
        <f>IF(H13=0,"",_xlfn.MAXIFS(Recebimentos!$A$5:$A$200,Recebimentos!$B$5:$B$200,A13))</f>
        <v/>
      </c>
      <c r="J13" s="10">
        <f>IF(F13&gt;'Parâmetros'!$B$4,0,IF(IF(I13="",FALSE,H13&gt;=G13*(1+IF(MAX(0,I13-F13)&gt;'Parâmetros'!$B$7,'Parâmetros'!$B$5,0))+IF(MAX(0,I13-F13)&gt;'Parâmetros'!$B$7,G13*'Parâmetros'!$B$6/30*MAX(0,I13-F13),0)-0.01),MAX(0,I13-F13),MAX(0,'Parâmetros'!$B$4-F13)))</f>
        <v/>
      </c>
      <c r="K13" s="11">
        <f>IF(J13&gt;'Parâmetros'!$B$7,ROUND(G13*'Parâmetros'!$B$5,2),0)</f>
        <v/>
      </c>
      <c r="L13" s="11">
        <f>IF(J13&gt;'Parâmetros'!$B$7,ROUND(G13*'Parâmetros'!$B$6/30*J13,2),0)</f>
        <v/>
      </c>
      <c r="M13" s="11">
        <f>IF(F13&gt;'Parâmetros'!$B$4,0,G13+K13+L13)</f>
        <v/>
      </c>
      <c r="N13" s="11">
        <f>MAX(0,ROUND(M13-H13,2))</f>
        <v/>
      </c>
      <c r="O13" s="10">
        <f>IF(F13&gt;'Parâmetros'!$B$4,"A vencer",IF(N13=0,IF(J13&gt;'Parâmetros'!$B$7,"Pago com atraso","Pago"),IF(Q13&lt;&gt;"",Q13,IF(H13&gt;0,"Parcial","Em atraso"))))</f>
        <v/>
      </c>
      <c r="P13" s="11">
        <f>IF(F13&gt;'Parâmetros'!$B$4,0,MIN(G13,H13))</f>
        <v/>
      </c>
      <c r="Q13" s="41" t="n"/>
      <c r="R13" s="10">
        <f>IF(N13=0,"",IF(J13&lt;=30,"1 a 30 dias",IF(J13&lt;=60,"31 a 60 dias",IF(J13&lt;=90,"61 a 90 dias","Mais de 90 dias"))))</f>
        <v/>
      </c>
      <c r="S13" s="37" t="n"/>
    </row>
    <row r="14">
      <c r="A14" s="10" t="inlineStr">
        <is>
          <t>C-10</t>
        </is>
      </c>
      <c r="B14" s="37" t="inlineStr">
        <is>
          <t>CT-02</t>
        </is>
      </c>
      <c r="C14" s="19">
        <f>INDEX(Contratos!$B$5:$B$9,MATCH(B14,Contratos!$A$5:$A$9,0))</f>
        <v/>
      </c>
      <c r="D14" s="19">
        <f>INDEX(Contratos!$C$5:$C$9,MATCH(B14,Contratos!$A$5:$A$9,0))</f>
        <v/>
      </c>
      <c r="E14" s="39" t="n">
        <v>46296</v>
      </c>
      <c r="F14" s="40">
        <f>DATE(YEAR(E14),MONTH(E14),INDEX(Contratos!$F$5:$F$9,MATCH(B14,Contratos!$A$5:$A$9,0)))</f>
        <v/>
      </c>
      <c r="G14" s="11">
        <f>INDEX(Contratos!$E$5:$E$9,MATCH(B14,Contratos!$A$5:$A$9,0))</f>
        <v/>
      </c>
      <c r="H14" s="11">
        <f>SUMIFS(Recebimentos!$C$5:$C$200,Recebimentos!$B$5:$B$200,A14)</f>
        <v/>
      </c>
      <c r="I14" s="40">
        <f>IF(H14=0,"",_xlfn.MAXIFS(Recebimentos!$A$5:$A$200,Recebimentos!$B$5:$B$200,A14))</f>
        <v/>
      </c>
      <c r="J14" s="10">
        <f>IF(F14&gt;'Parâmetros'!$B$4,0,IF(IF(I14="",FALSE,H14&gt;=G14*(1+IF(MAX(0,I14-F14)&gt;'Parâmetros'!$B$7,'Parâmetros'!$B$5,0))+IF(MAX(0,I14-F14)&gt;'Parâmetros'!$B$7,G14*'Parâmetros'!$B$6/30*MAX(0,I14-F14),0)-0.01),MAX(0,I14-F14),MAX(0,'Parâmetros'!$B$4-F14)))</f>
        <v/>
      </c>
      <c r="K14" s="11">
        <f>IF(J14&gt;'Parâmetros'!$B$7,ROUND(G14*'Parâmetros'!$B$5,2),0)</f>
        <v/>
      </c>
      <c r="L14" s="11">
        <f>IF(J14&gt;'Parâmetros'!$B$7,ROUND(G14*'Parâmetros'!$B$6/30*J14,2),0)</f>
        <v/>
      </c>
      <c r="M14" s="11">
        <f>IF(F14&gt;'Parâmetros'!$B$4,0,G14+K14+L14)</f>
        <v/>
      </c>
      <c r="N14" s="11">
        <f>MAX(0,ROUND(M14-H14,2))</f>
        <v/>
      </c>
      <c r="O14" s="10">
        <f>IF(F14&gt;'Parâmetros'!$B$4,"A vencer",IF(N14=0,IF(J14&gt;'Parâmetros'!$B$7,"Pago com atraso","Pago"),IF(Q14&lt;&gt;"",Q14,IF(H14&gt;0,"Parcial","Em atraso"))))</f>
        <v/>
      </c>
      <c r="P14" s="11">
        <f>IF(F14&gt;'Parâmetros'!$B$4,0,MIN(G14,H14))</f>
        <v/>
      </c>
      <c r="Q14" s="41" t="n"/>
      <c r="R14" s="10">
        <f>IF(N14=0,"",IF(J14&lt;=30,"1 a 30 dias",IF(J14&lt;=60,"31 a 60 dias",IF(J14&lt;=90,"61 a 90 dias","Mais de 90 dias"))))</f>
        <v/>
      </c>
      <c r="S14" s="37" t="n"/>
    </row>
    <row r="15">
      <c r="A15" s="10" t="inlineStr">
        <is>
          <t>C-11</t>
        </is>
      </c>
      <c r="B15" s="37" t="inlineStr">
        <is>
          <t>CT-02</t>
        </is>
      </c>
      <c r="C15" s="19">
        <f>INDEX(Contratos!$B$5:$B$9,MATCH(B15,Contratos!$A$5:$A$9,0))</f>
        <v/>
      </c>
      <c r="D15" s="19">
        <f>INDEX(Contratos!$C$5:$C$9,MATCH(B15,Contratos!$A$5:$A$9,0))</f>
        <v/>
      </c>
      <c r="E15" s="39" t="n">
        <v>46327</v>
      </c>
      <c r="F15" s="40">
        <f>DATE(YEAR(E15),MONTH(E15),INDEX(Contratos!$F$5:$F$9,MATCH(B15,Contratos!$A$5:$A$9,0)))</f>
        <v/>
      </c>
      <c r="G15" s="11">
        <f>INDEX(Contratos!$E$5:$E$9,MATCH(B15,Contratos!$A$5:$A$9,0))</f>
        <v/>
      </c>
      <c r="H15" s="11">
        <f>SUMIFS(Recebimentos!$C$5:$C$200,Recebimentos!$B$5:$B$200,A15)</f>
        <v/>
      </c>
      <c r="I15" s="40">
        <f>IF(H15=0,"",_xlfn.MAXIFS(Recebimentos!$A$5:$A$200,Recebimentos!$B$5:$B$200,A15))</f>
        <v/>
      </c>
      <c r="J15" s="10">
        <f>IF(F15&gt;'Parâmetros'!$B$4,0,IF(IF(I15="",FALSE,H15&gt;=G15*(1+IF(MAX(0,I15-F15)&gt;'Parâmetros'!$B$7,'Parâmetros'!$B$5,0))+IF(MAX(0,I15-F15)&gt;'Parâmetros'!$B$7,G15*'Parâmetros'!$B$6/30*MAX(0,I15-F15),0)-0.01),MAX(0,I15-F15),MAX(0,'Parâmetros'!$B$4-F15)))</f>
        <v/>
      </c>
      <c r="K15" s="11">
        <f>IF(J15&gt;'Parâmetros'!$B$7,ROUND(G15*'Parâmetros'!$B$5,2),0)</f>
        <v/>
      </c>
      <c r="L15" s="11">
        <f>IF(J15&gt;'Parâmetros'!$B$7,ROUND(G15*'Parâmetros'!$B$6/30*J15,2),0)</f>
        <v/>
      </c>
      <c r="M15" s="11">
        <f>IF(F15&gt;'Parâmetros'!$B$4,0,G15+K15+L15)</f>
        <v/>
      </c>
      <c r="N15" s="11">
        <f>MAX(0,ROUND(M15-H15,2))</f>
        <v/>
      </c>
      <c r="O15" s="10">
        <f>IF(F15&gt;'Parâmetros'!$B$4,"A vencer",IF(N15=0,IF(J15&gt;'Parâmetros'!$B$7,"Pago com atraso","Pago"),IF(Q15&lt;&gt;"",Q15,IF(H15&gt;0,"Parcial","Em atraso"))))</f>
        <v/>
      </c>
      <c r="P15" s="11">
        <f>IF(F15&gt;'Parâmetros'!$B$4,0,MIN(G15,H15))</f>
        <v/>
      </c>
      <c r="Q15" s="41" t="n"/>
      <c r="R15" s="10">
        <f>IF(N15=0,"",IF(J15&lt;=30,"1 a 30 dias",IF(J15&lt;=60,"31 a 60 dias",IF(J15&lt;=90,"61 a 90 dias","Mais de 90 dias"))))</f>
        <v/>
      </c>
      <c r="S15" s="37" t="n"/>
    </row>
    <row r="16">
      <c r="A16" s="10" t="inlineStr">
        <is>
          <t>C-12</t>
        </is>
      </c>
      <c r="B16" s="37" t="inlineStr">
        <is>
          <t>CT-02</t>
        </is>
      </c>
      <c r="C16" s="19">
        <f>INDEX(Contratos!$B$5:$B$9,MATCH(B16,Contratos!$A$5:$A$9,0))</f>
        <v/>
      </c>
      <c r="D16" s="19">
        <f>INDEX(Contratos!$C$5:$C$9,MATCH(B16,Contratos!$A$5:$A$9,0))</f>
        <v/>
      </c>
      <c r="E16" s="39" t="n">
        <v>46357</v>
      </c>
      <c r="F16" s="40">
        <f>DATE(YEAR(E16),MONTH(E16),INDEX(Contratos!$F$5:$F$9,MATCH(B16,Contratos!$A$5:$A$9,0)))</f>
        <v/>
      </c>
      <c r="G16" s="11">
        <f>INDEX(Contratos!$E$5:$E$9,MATCH(B16,Contratos!$A$5:$A$9,0))</f>
        <v/>
      </c>
      <c r="H16" s="11">
        <f>SUMIFS(Recebimentos!$C$5:$C$200,Recebimentos!$B$5:$B$200,A16)</f>
        <v/>
      </c>
      <c r="I16" s="40">
        <f>IF(H16=0,"",_xlfn.MAXIFS(Recebimentos!$A$5:$A$200,Recebimentos!$B$5:$B$200,A16))</f>
        <v/>
      </c>
      <c r="J16" s="10">
        <f>IF(F16&gt;'Parâmetros'!$B$4,0,IF(IF(I16="",FALSE,H16&gt;=G16*(1+IF(MAX(0,I16-F16)&gt;'Parâmetros'!$B$7,'Parâmetros'!$B$5,0))+IF(MAX(0,I16-F16)&gt;'Parâmetros'!$B$7,G16*'Parâmetros'!$B$6/30*MAX(0,I16-F16),0)-0.01),MAX(0,I16-F16),MAX(0,'Parâmetros'!$B$4-F16)))</f>
        <v/>
      </c>
      <c r="K16" s="11">
        <f>IF(J16&gt;'Parâmetros'!$B$7,ROUND(G16*'Parâmetros'!$B$5,2),0)</f>
        <v/>
      </c>
      <c r="L16" s="11">
        <f>IF(J16&gt;'Parâmetros'!$B$7,ROUND(G16*'Parâmetros'!$B$6/30*J16,2),0)</f>
        <v/>
      </c>
      <c r="M16" s="11">
        <f>IF(F16&gt;'Parâmetros'!$B$4,0,G16+K16+L16)</f>
        <v/>
      </c>
      <c r="N16" s="11">
        <f>MAX(0,ROUND(M16-H16,2))</f>
        <v/>
      </c>
      <c r="O16" s="10">
        <f>IF(F16&gt;'Parâmetros'!$B$4,"A vencer",IF(N16=0,IF(J16&gt;'Parâmetros'!$B$7,"Pago com atraso","Pago"),IF(Q16&lt;&gt;"",Q16,IF(H16&gt;0,"Parcial","Em atraso"))))</f>
        <v/>
      </c>
      <c r="P16" s="11">
        <f>IF(F16&gt;'Parâmetros'!$B$4,0,MIN(G16,H16))</f>
        <v/>
      </c>
      <c r="Q16" s="41" t="n"/>
      <c r="R16" s="10">
        <f>IF(N16=0,"",IF(J16&lt;=30,"1 a 30 dias",IF(J16&lt;=60,"31 a 60 dias",IF(J16&lt;=90,"61 a 90 dias","Mais de 90 dias"))))</f>
        <v/>
      </c>
      <c r="S16" s="37" t="n"/>
    </row>
    <row r="17">
      <c r="A17" s="10" t="inlineStr">
        <is>
          <t>C-13</t>
        </is>
      </c>
      <c r="B17" s="37" t="inlineStr">
        <is>
          <t>CT-03</t>
        </is>
      </c>
      <c r="C17" s="19">
        <f>INDEX(Contratos!$B$5:$B$9,MATCH(B17,Contratos!$A$5:$A$9,0))</f>
        <v/>
      </c>
      <c r="D17" s="19">
        <f>INDEX(Contratos!$C$5:$C$9,MATCH(B17,Contratos!$A$5:$A$9,0))</f>
        <v/>
      </c>
      <c r="E17" s="39" t="n">
        <v>46204</v>
      </c>
      <c r="F17" s="40">
        <f>DATE(YEAR(E17),MONTH(E17),INDEX(Contratos!$F$5:$F$9,MATCH(B17,Contratos!$A$5:$A$9,0)))</f>
        <v/>
      </c>
      <c r="G17" s="11">
        <f>INDEX(Contratos!$E$5:$E$9,MATCH(B17,Contratos!$A$5:$A$9,0))</f>
        <v/>
      </c>
      <c r="H17" s="11">
        <f>SUMIFS(Recebimentos!$C$5:$C$200,Recebimentos!$B$5:$B$200,A17)</f>
        <v/>
      </c>
      <c r="I17" s="40">
        <f>IF(H17=0,"",_xlfn.MAXIFS(Recebimentos!$A$5:$A$200,Recebimentos!$B$5:$B$200,A17))</f>
        <v/>
      </c>
      <c r="J17" s="10">
        <f>IF(F17&gt;'Parâmetros'!$B$4,0,IF(IF(I17="",FALSE,H17&gt;=G17*(1+IF(MAX(0,I17-F17)&gt;'Parâmetros'!$B$7,'Parâmetros'!$B$5,0))+IF(MAX(0,I17-F17)&gt;'Parâmetros'!$B$7,G17*'Parâmetros'!$B$6/30*MAX(0,I17-F17),0)-0.01),MAX(0,I17-F17),MAX(0,'Parâmetros'!$B$4-F17)))</f>
        <v/>
      </c>
      <c r="K17" s="11">
        <f>IF(J17&gt;'Parâmetros'!$B$7,ROUND(G17*'Parâmetros'!$B$5,2),0)</f>
        <v/>
      </c>
      <c r="L17" s="11">
        <f>IF(J17&gt;'Parâmetros'!$B$7,ROUND(G17*'Parâmetros'!$B$6/30*J17,2),0)</f>
        <v/>
      </c>
      <c r="M17" s="11">
        <f>IF(F17&gt;'Parâmetros'!$B$4,0,G17+K17+L17)</f>
        <v/>
      </c>
      <c r="N17" s="11">
        <f>MAX(0,ROUND(M17-H17,2))</f>
        <v/>
      </c>
      <c r="O17" s="10">
        <f>IF(F17&gt;'Parâmetros'!$B$4,"A vencer",IF(N17=0,IF(J17&gt;'Parâmetros'!$B$7,"Pago com atraso","Pago"),IF(Q17&lt;&gt;"",Q17,IF(H17&gt;0,"Parcial","Em atraso"))))</f>
        <v/>
      </c>
      <c r="P17" s="11">
        <f>IF(F17&gt;'Parâmetros'!$B$4,0,MIN(G17,H17))</f>
        <v/>
      </c>
      <c r="Q17" s="41" t="n"/>
      <c r="R17" s="10">
        <f>IF(N17=0,"",IF(J17&lt;=30,"1 a 30 dias",IF(J17&lt;=60,"31 a 60 dias",IF(J17&lt;=90,"61 a 90 dias","Mais de 90 dias"))))</f>
        <v/>
      </c>
      <c r="S17" s="37" t="n"/>
    </row>
    <row r="18">
      <c r="A18" s="10" t="inlineStr">
        <is>
          <t>C-14</t>
        </is>
      </c>
      <c r="B18" s="37" t="inlineStr">
        <is>
          <t>CT-03</t>
        </is>
      </c>
      <c r="C18" s="19">
        <f>INDEX(Contratos!$B$5:$B$9,MATCH(B18,Contratos!$A$5:$A$9,0))</f>
        <v/>
      </c>
      <c r="D18" s="19">
        <f>INDEX(Contratos!$C$5:$C$9,MATCH(B18,Contratos!$A$5:$A$9,0))</f>
        <v/>
      </c>
      <c r="E18" s="39" t="n">
        <v>46235</v>
      </c>
      <c r="F18" s="40">
        <f>DATE(YEAR(E18),MONTH(E18),INDEX(Contratos!$F$5:$F$9,MATCH(B18,Contratos!$A$5:$A$9,0)))</f>
        <v/>
      </c>
      <c r="G18" s="11">
        <f>INDEX(Contratos!$E$5:$E$9,MATCH(B18,Contratos!$A$5:$A$9,0))</f>
        <v/>
      </c>
      <c r="H18" s="11">
        <f>SUMIFS(Recebimentos!$C$5:$C$200,Recebimentos!$B$5:$B$200,A18)</f>
        <v/>
      </c>
      <c r="I18" s="40">
        <f>IF(H18=0,"",_xlfn.MAXIFS(Recebimentos!$A$5:$A$200,Recebimentos!$B$5:$B$200,A18))</f>
        <v/>
      </c>
      <c r="J18" s="10">
        <f>IF(F18&gt;'Parâmetros'!$B$4,0,IF(IF(I18="",FALSE,H18&gt;=G18*(1+IF(MAX(0,I18-F18)&gt;'Parâmetros'!$B$7,'Parâmetros'!$B$5,0))+IF(MAX(0,I18-F18)&gt;'Parâmetros'!$B$7,G18*'Parâmetros'!$B$6/30*MAX(0,I18-F18),0)-0.01),MAX(0,I18-F18),MAX(0,'Parâmetros'!$B$4-F18)))</f>
        <v/>
      </c>
      <c r="K18" s="11">
        <f>IF(J18&gt;'Parâmetros'!$B$7,ROUND(G18*'Parâmetros'!$B$5,2),0)</f>
        <v/>
      </c>
      <c r="L18" s="11">
        <f>IF(J18&gt;'Parâmetros'!$B$7,ROUND(G18*'Parâmetros'!$B$6/30*J18,2),0)</f>
        <v/>
      </c>
      <c r="M18" s="11">
        <f>IF(F18&gt;'Parâmetros'!$B$4,0,G18+K18+L18)</f>
        <v/>
      </c>
      <c r="N18" s="11">
        <f>MAX(0,ROUND(M18-H18,2))</f>
        <v/>
      </c>
      <c r="O18" s="10">
        <f>IF(F18&gt;'Parâmetros'!$B$4,"A vencer",IF(N18=0,IF(J18&gt;'Parâmetros'!$B$7,"Pago com atraso","Pago"),IF(Q18&lt;&gt;"",Q18,IF(H18&gt;0,"Parcial","Em atraso"))))</f>
        <v/>
      </c>
      <c r="P18" s="11">
        <f>IF(F18&gt;'Parâmetros'!$B$4,0,MIN(G18,H18))</f>
        <v/>
      </c>
      <c r="Q18" s="41" t="n"/>
      <c r="R18" s="10">
        <f>IF(N18=0,"",IF(J18&lt;=30,"1 a 30 dias",IF(J18&lt;=60,"31 a 60 dias",IF(J18&lt;=90,"61 a 90 dias","Mais de 90 dias"))))</f>
        <v/>
      </c>
      <c r="S18" s="37" t="n"/>
    </row>
    <row r="19">
      <c r="A19" s="10" t="inlineStr">
        <is>
          <t>C-15</t>
        </is>
      </c>
      <c r="B19" s="37" t="inlineStr">
        <is>
          <t>CT-03</t>
        </is>
      </c>
      <c r="C19" s="19">
        <f>INDEX(Contratos!$B$5:$B$9,MATCH(B19,Contratos!$A$5:$A$9,0))</f>
        <v/>
      </c>
      <c r="D19" s="19">
        <f>INDEX(Contratos!$C$5:$C$9,MATCH(B19,Contratos!$A$5:$A$9,0))</f>
        <v/>
      </c>
      <c r="E19" s="39" t="n">
        <v>46266</v>
      </c>
      <c r="F19" s="40">
        <f>DATE(YEAR(E19),MONTH(E19),INDEX(Contratos!$F$5:$F$9,MATCH(B19,Contratos!$A$5:$A$9,0)))</f>
        <v/>
      </c>
      <c r="G19" s="11">
        <f>INDEX(Contratos!$E$5:$E$9,MATCH(B19,Contratos!$A$5:$A$9,0))</f>
        <v/>
      </c>
      <c r="H19" s="11">
        <f>SUMIFS(Recebimentos!$C$5:$C$200,Recebimentos!$B$5:$B$200,A19)</f>
        <v/>
      </c>
      <c r="I19" s="40">
        <f>IF(H19=0,"",_xlfn.MAXIFS(Recebimentos!$A$5:$A$200,Recebimentos!$B$5:$B$200,A19))</f>
        <v/>
      </c>
      <c r="J19" s="10">
        <f>IF(F19&gt;'Parâmetros'!$B$4,0,IF(IF(I19="",FALSE,H19&gt;=G19*(1+IF(MAX(0,I19-F19)&gt;'Parâmetros'!$B$7,'Parâmetros'!$B$5,0))+IF(MAX(0,I19-F19)&gt;'Parâmetros'!$B$7,G19*'Parâmetros'!$B$6/30*MAX(0,I19-F19),0)-0.01),MAX(0,I19-F19),MAX(0,'Parâmetros'!$B$4-F19)))</f>
        <v/>
      </c>
      <c r="K19" s="11">
        <f>IF(J19&gt;'Parâmetros'!$B$7,ROUND(G19*'Parâmetros'!$B$5,2),0)</f>
        <v/>
      </c>
      <c r="L19" s="11">
        <f>IF(J19&gt;'Parâmetros'!$B$7,ROUND(G19*'Parâmetros'!$B$6/30*J19,2),0)</f>
        <v/>
      </c>
      <c r="M19" s="11">
        <f>IF(F19&gt;'Parâmetros'!$B$4,0,G19+K19+L19)</f>
        <v/>
      </c>
      <c r="N19" s="11">
        <f>MAX(0,ROUND(M19-H19,2))</f>
        <v/>
      </c>
      <c r="O19" s="10">
        <f>IF(F19&gt;'Parâmetros'!$B$4,"A vencer",IF(N19=0,IF(J19&gt;'Parâmetros'!$B$7,"Pago com atraso","Pago"),IF(Q19&lt;&gt;"",Q19,IF(H19&gt;0,"Parcial","Em atraso"))))</f>
        <v/>
      </c>
      <c r="P19" s="11">
        <f>IF(F19&gt;'Parâmetros'!$B$4,0,MIN(G19,H19))</f>
        <v/>
      </c>
      <c r="Q19" s="41" t="n"/>
      <c r="R19" s="10">
        <f>IF(N19=0,"",IF(J19&lt;=30,"1 a 30 dias",IF(J19&lt;=60,"31 a 60 dias",IF(J19&lt;=90,"61 a 90 dias","Mais de 90 dias"))))</f>
        <v/>
      </c>
      <c r="S19" s="37" t="n"/>
    </row>
    <row r="20">
      <c r="A20" s="10" t="inlineStr">
        <is>
          <t>C-16</t>
        </is>
      </c>
      <c r="B20" s="37" t="inlineStr">
        <is>
          <t>CT-03</t>
        </is>
      </c>
      <c r="C20" s="19">
        <f>INDEX(Contratos!$B$5:$B$9,MATCH(B20,Contratos!$A$5:$A$9,0))</f>
        <v/>
      </c>
      <c r="D20" s="19">
        <f>INDEX(Contratos!$C$5:$C$9,MATCH(B20,Contratos!$A$5:$A$9,0))</f>
        <v/>
      </c>
      <c r="E20" s="39" t="n">
        <v>46296</v>
      </c>
      <c r="F20" s="40">
        <f>DATE(YEAR(E20),MONTH(E20),INDEX(Contratos!$F$5:$F$9,MATCH(B20,Contratos!$A$5:$A$9,0)))</f>
        <v/>
      </c>
      <c r="G20" s="11">
        <f>INDEX(Contratos!$E$5:$E$9,MATCH(B20,Contratos!$A$5:$A$9,0))</f>
        <v/>
      </c>
      <c r="H20" s="11">
        <f>SUMIFS(Recebimentos!$C$5:$C$200,Recebimentos!$B$5:$B$200,A20)</f>
        <v/>
      </c>
      <c r="I20" s="40">
        <f>IF(H20=0,"",_xlfn.MAXIFS(Recebimentos!$A$5:$A$200,Recebimentos!$B$5:$B$200,A20))</f>
        <v/>
      </c>
      <c r="J20" s="10">
        <f>IF(F20&gt;'Parâmetros'!$B$4,0,IF(IF(I20="",FALSE,H20&gt;=G20*(1+IF(MAX(0,I20-F20)&gt;'Parâmetros'!$B$7,'Parâmetros'!$B$5,0))+IF(MAX(0,I20-F20)&gt;'Parâmetros'!$B$7,G20*'Parâmetros'!$B$6/30*MAX(0,I20-F20),0)-0.01),MAX(0,I20-F20),MAX(0,'Parâmetros'!$B$4-F20)))</f>
        <v/>
      </c>
      <c r="K20" s="11">
        <f>IF(J20&gt;'Parâmetros'!$B$7,ROUND(G20*'Parâmetros'!$B$5,2),0)</f>
        <v/>
      </c>
      <c r="L20" s="11">
        <f>IF(J20&gt;'Parâmetros'!$B$7,ROUND(G20*'Parâmetros'!$B$6/30*J20,2),0)</f>
        <v/>
      </c>
      <c r="M20" s="11">
        <f>IF(F20&gt;'Parâmetros'!$B$4,0,G20+K20+L20)</f>
        <v/>
      </c>
      <c r="N20" s="11">
        <f>MAX(0,ROUND(M20-H20,2))</f>
        <v/>
      </c>
      <c r="O20" s="10">
        <f>IF(F20&gt;'Parâmetros'!$B$4,"A vencer",IF(N20=0,IF(J20&gt;'Parâmetros'!$B$7,"Pago com atraso","Pago"),IF(Q20&lt;&gt;"",Q20,IF(H20&gt;0,"Parcial","Em atraso"))))</f>
        <v/>
      </c>
      <c r="P20" s="11">
        <f>IF(F20&gt;'Parâmetros'!$B$4,0,MIN(G20,H20))</f>
        <v/>
      </c>
      <c r="Q20" s="41" t="inlineStr">
        <is>
          <t>Em acordo</t>
        </is>
      </c>
      <c r="R20" s="10">
        <f>IF(N20=0,"",IF(J20&lt;=30,"1 a 30 dias",IF(J20&lt;=60,"31 a 60 dias",IF(J20&lt;=90,"61 a 90 dias","Mais de 90 dias"))))</f>
        <v/>
      </c>
      <c r="S20" s="37" t="inlineStr">
        <is>
          <t>Acordo em 15/10: restante com multa e juros até 10/11/2026</t>
        </is>
      </c>
    </row>
    <row r="21">
      <c r="A21" s="10" t="inlineStr">
        <is>
          <t>C-17</t>
        </is>
      </c>
      <c r="B21" s="37" t="inlineStr">
        <is>
          <t>CT-03</t>
        </is>
      </c>
      <c r="C21" s="19">
        <f>INDEX(Contratos!$B$5:$B$9,MATCH(B21,Contratos!$A$5:$A$9,0))</f>
        <v/>
      </c>
      <c r="D21" s="19">
        <f>INDEX(Contratos!$C$5:$C$9,MATCH(B21,Contratos!$A$5:$A$9,0))</f>
        <v/>
      </c>
      <c r="E21" s="39" t="n">
        <v>46327</v>
      </c>
      <c r="F21" s="40">
        <f>DATE(YEAR(E21),MONTH(E21),INDEX(Contratos!$F$5:$F$9,MATCH(B21,Contratos!$A$5:$A$9,0)))</f>
        <v/>
      </c>
      <c r="G21" s="11">
        <f>INDEX(Contratos!$E$5:$E$9,MATCH(B21,Contratos!$A$5:$A$9,0))</f>
        <v/>
      </c>
      <c r="H21" s="11">
        <f>SUMIFS(Recebimentos!$C$5:$C$200,Recebimentos!$B$5:$B$200,A21)</f>
        <v/>
      </c>
      <c r="I21" s="40">
        <f>IF(H21=0,"",_xlfn.MAXIFS(Recebimentos!$A$5:$A$200,Recebimentos!$B$5:$B$200,A21))</f>
        <v/>
      </c>
      <c r="J21" s="10">
        <f>IF(F21&gt;'Parâmetros'!$B$4,0,IF(IF(I21="",FALSE,H21&gt;=G21*(1+IF(MAX(0,I21-F21)&gt;'Parâmetros'!$B$7,'Parâmetros'!$B$5,0))+IF(MAX(0,I21-F21)&gt;'Parâmetros'!$B$7,G21*'Parâmetros'!$B$6/30*MAX(0,I21-F21),0)-0.01),MAX(0,I21-F21),MAX(0,'Parâmetros'!$B$4-F21)))</f>
        <v/>
      </c>
      <c r="K21" s="11">
        <f>IF(J21&gt;'Parâmetros'!$B$7,ROUND(G21*'Parâmetros'!$B$5,2),0)</f>
        <v/>
      </c>
      <c r="L21" s="11">
        <f>IF(J21&gt;'Parâmetros'!$B$7,ROUND(G21*'Parâmetros'!$B$6/30*J21,2),0)</f>
        <v/>
      </c>
      <c r="M21" s="11">
        <f>IF(F21&gt;'Parâmetros'!$B$4,0,G21+K21+L21)</f>
        <v/>
      </c>
      <c r="N21" s="11">
        <f>MAX(0,ROUND(M21-H21,2))</f>
        <v/>
      </c>
      <c r="O21" s="10">
        <f>IF(F21&gt;'Parâmetros'!$B$4,"A vencer",IF(N21=0,IF(J21&gt;'Parâmetros'!$B$7,"Pago com atraso","Pago"),IF(Q21&lt;&gt;"",Q21,IF(H21&gt;0,"Parcial","Em atraso"))))</f>
        <v/>
      </c>
      <c r="P21" s="11">
        <f>IF(F21&gt;'Parâmetros'!$B$4,0,MIN(G21,H21))</f>
        <v/>
      </c>
      <c r="Q21" s="41" t="n"/>
      <c r="R21" s="10">
        <f>IF(N21=0,"",IF(J21&lt;=30,"1 a 30 dias",IF(J21&lt;=60,"31 a 60 dias",IF(J21&lt;=90,"61 a 90 dias","Mais de 90 dias"))))</f>
        <v/>
      </c>
      <c r="S21" s="37" t="n"/>
    </row>
    <row r="22">
      <c r="A22" s="10" t="inlineStr">
        <is>
          <t>C-18</t>
        </is>
      </c>
      <c r="B22" s="37" t="inlineStr">
        <is>
          <t>CT-03</t>
        </is>
      </c>
      <c r="C22" s="19">
        <f>INDEX(Contratos!$B$5:$B$9,MATCH(B22,Contratos!$A$5:$A$9,0))</f>
        <v/>
      </c>
      <c r="D22" s="19">
        <f>INDEX(Contratos!$C$5:$C$9,MATCH(B22,Contratos!$A$5:$A$9,0))</f>
        <v/>
      </c>
      <c r="E22" s="39" t="n">
        <v>46357</v>
      </c>
      <c r="F22" s="40">
        <f>DATE(YEAR(E22),MONTH(E22),INDEX(Contratos!$F$5:$F$9,MATCH(B22,Contratos!$A$5:$A$9,0)))</f>
        <v/>
      </c>
      <c r="G22" s="11">
        <f>INDEX(Contratos!$E$5:$E$9,MATCH(B22,Contratos!$A$5:$A$9,0))</f>
        <v/>
      </c>
      <c r="H22" s="11">
        <f>SUMIFS(Recebimentos!$C$5:$C$200,Recebimentos!$B$5:$B$200,A22)</f>
        <v/>
      </c>
      <c r="I22" s="40">
        <f>IF(H22=0,"",_xlfn.MAXIFS(Recebimentos!$A$5:$A$200,Recebimentos!$B$5:$B$200,A22))</f>
        <v/>
      </c>
      <c r="J22" s="10">
        <f>IF(F22&gt;'Parâmetros'!$B$4,0,IF(IF(I22="",FALSE,H22&gt;=G22*(1+IF(MAX(0,I22-F22)&gt;'Parâmetros'!$B$7,'Parâmetros'!$B$5,0))+IF(MAX(0,I22-F22)&gt;'Parâmetros'!$B$7,G22*'Parâmetros'!$B$6/30*MAX(0,I22-F22),0)-0.01),MAX(0,I22-F22),MAX(0,'Parâmetros'!$B$4-F22)))</f>
        <v/>
      </c>
      <c r="K22" s="11">
        <f>IF(J22&gt;'Parâmetros'!$B$7,ROUND(G22*'Parâmetros'!$B$5,2),0)</f>
        <v/>
      </c>
      <c r="L22" s="11">
        <f>IF(J22&gt;'Parâmetros'!$B$7,ROUND(G22*'Parâmetros'!$B$6/30*J22,2),0)</f>
        <v/>
      </c>
      <c r="M22" s="11">
        <f>IF(F22&gt;'Parâmetros'!$B$4,0,G22+K22+L22)</f>
        <v/>
      </c>
      <c r="N22" s="11">
        <f>MAX(0,ROUND(M22-H22,2))</f>
        <v/>
      </c>
      <c r="O22" s="10">
        <f>IF(F22&gt;'Parâmetros'!$B$4,"A vencer",IF(N22=0,IF(J22&gt;'Parâmetros'!$B$7,"Pago com atraso","Pago"),IF(Q22&lt;&gt;"",Q22,IF(H22&gt;0,"Parcial","Em atraso"))))</f>
        <v/>
      </c>
      <c r="P22" s="11">
        <f>IF(F22&gt;'Parâmetros'!$B$4,0,MIN(G22,H22))</f>
        <v/>
      </c>
      <c r="Q22" s="41" t="n"/>
      <c r="R22" s="10">
        <f>IF(N22=0,"",IF(J22&lt;=30,"1 a 30 dias",IF(J22&lt;=60,"31 a 60 dias",IF(J22&lt;=90,"61 a 90 dias","Mais de 90 dias"))))</f>
        <v/>
      </c>
      <c r="S22" s="37" t="n"/>
    </row>
    <row r="23">
      <c r="A23" s="10" t="inlineStr">
        <is>
          <t>C-19</t>
        </is>
      </c>
      <c r="B23" s="37" t="inlineStr">
        <is>
          <t>CT-04</t>
        </is>
      </c>
      <c r="C23" s="19">
        <f>INDEX(Contratos!$B$5:$B$9,MATCH(B23,Contratos!$A$5:$A$9,0))</f>
        <v/>
      </c>
      <c r="D23" s="19">
        <f>INDEX(Contratos!$C$5:$C$9,MATCH(B23,Contratos!$A$5:$A$9,0))</f>
        <v/>
      </c>
      <c r="E23" s="39" t="n">
        <v>46204</v>
      </c>
      <c r="F23" s="40">
        <f>DATE(YEAR(E23),MONTH(E23),INDEX(Contratos!$F$5:$F$9,MATCH(B23,Contratos!$A$5:$A$9,0)))</f>
        <v/>
      </c>
      <c r="G23" s="11">
        <f>INDEX(Contratos!$E$5:$E$9,MATCH(B23,Contratos!$A$5:$A$9,0))</f>
        <v/>
      </c>
      <c r="H23" s="11">
        <f>SUMIFS(Recebimentos!$C$5:$C$200,Recebimentos!$B$5:$B$200,A23)</f>
        <v/>
      </c>
      <c r="I23" s="40">
        <f>IF(H23=0,"",_xlfn.MAXIFS(Recebimentos!$A$5:$A$200,Recebimentos!$B$5:$B$200,A23))</f>
        <v/>
      </c>
      <c r="J23" s="10">
        <f>IF(F23&gt;'Parâmetros'!$B$4,0,IF(IF(I23="",FALSE,H23&gt;=G23*(1+IF(MAX(0,I23-F23)&gt;'Parâmetros'!$B$7,'Parâmetros'!$B$5,0))+IF(MAX(0,I23-F23)&gt;'Parâmetros'!$B$7,G23*'Parâmetros'!$B$6/30*MAX(0,I23-F23),0)-0.01),MAX(0,I23-F23),MAX(0,'Parâmetros'!$B$4-F23)))</f>
        <v/>
      </c>
      <c r="K23" s="11">
        <f>IF(J23&gt;'Parâmetros'!$B$7,ROUND(G23*'Parâmetros'!$B$5,2),0)</f>
        <v/>
      </c>
      <c r="L23" s="11">
        <f>IF(J23&gt;'Parâmetros'!$B$7,ROUND(G23*'Parâmetros'!$B$6/30*J23,2),0)</f>
        <v/>
      </c>
      <c r="M23" s="11">
        <f>IF(F23&gt;'Parâmetros'!$B$4,0,G23+K23+L23)</f>
        <v/>
      </c>
      <c r="N23" s="11">
        <f>MAX(0,ROUND(M23-H23,2))</f>
        <v/>
      </c>
      <c r="O23" s="10">
        <f>IF(F23&gt;'Parâmetros'!$B$4,"A vencer",IF(N23=0,IF(J23&gt;'Parâmetros'!$B$7,"Pago com atraso","Pago"),IF(Q23&lt;&gt;"",Q23,IF(H23&gt;0,"Parcial","Em atraso"))))</f>
        <v/>
      </c>
      <c r="P23" s="11">
        <f>IF(F23&gt;'Parâmetros'!$B$4,0,MIN(G23,H23))</f>
        <v/>
      </c>
      <c r="Q23" s="41" t="n"/>
      <c r="R23" s="10">
        <f>IF(N23=0,"",IF(J23&lt;=30,"1 a 30 dias",IF(J23&lt;=60,"31 a 60 dias",IF(J23&lt;=90,"61 a 90 dias","Mais de 90 dias"))))</f>
        <v/>
      </c>
      <c r="S23" s="37" t="n"/>
    </row>
    <row r="24">
      <c r="A24" s="10" t="inlineStr">
        <is>
          <t>C-20</t>
        </is>
      </c>
      <c r="B24" s="37" t="inlineStr">
        <is>
          <t>CT-04</t>
        </is>
      </c>
      <c r="C24" s="19">
        <f>INDEX(Contratos!$B$5:$B$9,MATCH(B24,Contratos!$A$5:$A$9,0))</f>
        <v/>
      </c>
      <c r="D24" s="19">
        <f>INDEX(Contratos!$C$5:$C$9,MATCH(B24,Contratos!$A$5:$A$9,0))</f>
        <v/>
      </c>
      <c r="E24" s="39" t="n">
        <v>46235</v>
      </c>
      <c r="F24" s="40">
        <f>DATE(YEAR(E24),MONTH(E24),INDEX(Contratos!$F$5:$F$9,MATCH(B24,Contratos!$A$5:$A$9,0)))</f>
        <v/>
      </c>
      <c r="G24" s="11">
        <f>INDEX(Contratos!$E$5:$E$9,MATCH(B24,Contratos!$A$5:$A$9,0))</f>
        <v/>
      </c>
      <c r="H24" s="11">
        <f>SUMIFS(Recebimentos!$C$5:$C$200,Recebimentos!$B$5:$B$200,A24)</f>
        <v/>
      </c>
      <c r="I24" s="40">
        <f>IF(H24=0,"",_xlfn.MAXIFS(Recebimentos!$A$5:$A$200,Recebimentos!$B$5:$B$200,A24))</f>
        <v/>
      </c>
      <c r="J24" s="10">
        <f>IF(F24&gt;'Parâmetros'!$B$4,0,IF(IF(I24="",FALSE,H24&gt;=G24*(1+IF(MAX(0,I24-F24)&gt;'Parâmetros'!$B$7,'Parâmetros'!$B$5,0))+IF(MAX(0,I24-F24)&gt;'Parâmetros'!$B$7,G24*'Parâmetros'!$B$6/30*MAX(0,I24-F24),0)-0.01),MAX(0,I24-F24),MAX(0,'Parâmetros'!$B$4-F24)))</f>
        <v/>
      </c>
      <c r="K24" s="11">
        <f>IF(J24&gt;'Parâmetros'!$B$7,ROUND(G24*'Parâmetros'!$B$5,2),0)</f>
        <v/>
      </c>
      <c r="L24" s="11">
        <f>IF(J24&gt;'Parâmetros'!$B$7,ROUND(G24*'Parâmetros'!$B$6/30*J24,2),0)</f>
        <v/>
      </c>
      <c r="M24" s="11">
        <f>IF(F24&gt;'Parâmetros'!$B$4,0,G24+K24+L24)</f>
        <v/>
      </c>
      <c r="N24" s="11">
        <f>MAX(0,ROUND(M24-H24,2))</f>
        <v/>
      </c>
      <c r="O24" s="10">
        <f>IF(F24&gt;'Parâmetros'!$B$4,"A vencer",IF(N24=0,IF(J24&gt;'Parâmetros'!$B$7,"Pago com atraso","Pago"),IF(Q24&lt;&gt;"",Q24,IF(H24&gt;0,"Parcial","Em atraso"))))</f>
        <v/>
      </c>
      <c r="P24" s="11">
        <f>IF(F24&gt;'Parâmetros'!$B$4,0,MIN(G24,H24))</f>
        <v/>
      </c>
      <c r="Q24" s="41" t="n"/>
      <c r="R24" s="10">
        <f>IF(N24=0,"",IF(J24&lt;=30,"1 a 30 dias",IF(J24&lt;=60,"31 a 60 dias",IF(J24&lt;=90,"61 a 90 dias","Mais de 90 dias"))))</f>
        <v/>
      </c>
      <c r="S24" s="37" t="n"/>
    </row>
    <row r="25">
      <c r="A25" s="10" t="inlineStr">
        <is>
          <t>C-21</t>
        </is>
      </c>
      <c r="B25" s="37" t="inlineStr">
        <is>
          <t>CT-04</t>
        </is>
      </c>
      <c r="C25" s="19">
        <f>INDEX(Contratos!$B$5:$B$9,MATCH(B25,Contratos!$A$5:$A$9,0))</f>
        <v/>
      </c>
      <c r="D25" s="19">
        <f>INDEX(Contratos!$C$5:$C$9,MATCH(B25,Contratos!$A$5:$A$9,0))</f>
        <v/>
      </c>
      <c r="E25" s="39" t="n">
        <v>46266</v>
      </c>
      <c r="F25" s="40">
        <f>DATE(YEAR(E25),MONTH(E25),INDEX(Contratos!$F$5:$F$9,MATCH(B25,Contratos!$A$5:$A$9,0)))</f>
        <v/>
      </c>
      <c r="G25" s="11">
        <f>INDEX(Contratos!$E$5:$E$9,MATCH(B25,Contratos!$A$5:$A$9,0))</f>
        <v/>
      </c>
      <c r="H25" s="11">
        <f>SUMIFS(Recebimentos!$C$5:$C$200,Recebimentos!$B$5:$B$200,A25)</f>
        <v/>
      </c>
      <c r="I25" s="40">
        <f>IF(H25=0,"",_xlfn.MAXIFS(Recebimentos!$A$5:$A$200,Recebimentos!$B$5:$B$200,A25))</f>
        <v/>
      </c>
      <c r="J25" s="10">
        <f>IF(F25&gt;'Parâmetros'!$B$4,0,IF(IF(I25="",FALSE,H25&gt;=G25*(1+IF(MAX(0,I25-F25)&gt;'Parâmetros'!$B$7,'Parâmetros'!$B$5,0))+IF(MAX(0,I25-F25)&gt;'Parâmetros'!$B$7,G25*'Parâmetros'!$B$6/30*MAX(0,I25-F25),0)-0.01),MAX(0,I25-F25),MAX(0,'Parâmetros'!$B$4-F25)))</f>
        <v/>
      </c>
      <c r="K25" s="11">
        <f>IF(J25&gt;'Parâmetros'!$B$7,ROUND(G25*'Parâmetros'!$B$5,2),0)</f>
        <v/>
      </c>
      <c r="L25" s="11">
        <f>IF(J25&gt;'Parâmetros'!$B$7,ROUND(G25*'Parâmetros'!$B$6/30*J25,2),0)</f>
        <v/>
      </c>
      <c r="M25" s="11">
        <f>IF(F25&gt;'Parâmetros'!$B$4,0,G25+K25+L25)</f>
        <v/>
      </c>
      <c r="N25" s="11">
        <f>MAX(0,ROUND(M25-H25,2))</f>
        <v/>
      </c>
      <c r="O25" s="10">
        <f>IF(F25&gt;'Parâmetros'!$B$4,"A vencer",IF(N25=0,IF(J25&gt;'Parâmetros'!$B$7,"Pago com atraso","Pago"),IF(Q25&lt;&gt;"",Q25,IF(H25&gt;0,"Parcial","Em atraso"))))</f>
        <v/>
      </c>
      <c r="P25" s="11">
        <f>IF(F25&gt;'Parâmetros'!$B$4,0,MIN(G25,H25))</f>
        <v/>
      </c>
      <c r="Q25" s="41" t="n"/>
      <c r="R25" s="10">
        <f>IF(N25=0,"",IF(J25&lt;=30,"1 a 30 dias",IF(J25&lt;=60,"31 a 60 dias",IF(J25&lt;=90,"61 a 90 dias","Mais de 90 dias"))))</f>
        <v/>
      </c>
      <c r="S25" s="37" t="n"/>
    </row>
    <row r="26">
      <c r="A26" s="10" t="inlineStr">
        <is>
          <t>C-22</t>
        </is>
      </c>
      <c r="B26" s="37" t="inlineStr">
        <is>
          <t>CT-04</t>
        </is>
      </c>
      <c r="C26" s="19">
        <f>INDEX(Contratos!$B$5:$B$9,MATCH(B26,Contratos!$A$5:$A$9,0))</f>
        <v/>
      </c>
      <c r="D26" s="19">
        <f>INDEX(Contratos!$C$5:$C$9,MATCH(B26,Contratos!$A$5:$A$9,0))</f>
        <v/>
      </c>
      <c r="E26" s="39" t="n">
        <v>46296</v>
      </c>
      <c r="F26" s="40">
        <f>DATE(YEAR(E26),MONTH(E26),INDEX(Contratos!$F$5:$F$9,MATCH(B26,Contratos!$A$5:$A$9,0)))</f>
        <v/>
      </c>
      <c r="G26" s="11">
        <f>INDEX(Contratos!$E$5:$E$9,MATCH(B26,Contratos!$A$5:$A$9,0))</f>
        <v/>
      </c>
      <c r="H26" s="11">
        <f>SUMIFS(Recebimentos!$C$5:$C$200,Recebimentos!$B$5:$B$200,A26)</f>
        <v/>
      </c>
      <c r="I26" s="40">
        <f>IF(H26=0,"",_xlfn.MAXIFS(Recebimentos!$A$5:$A$200,Recebimentos!$B$5:$B$200,A26))</f>
        <v/>
      </c>
      <c r="J26" s="10">
        <f>IF(F26&gt;'Parâmetros'!$B$4,0,IF(IF(I26="",FALSE,H26&gt;=G26*(1+IF(MAX(0,I26-F26)&gt;'Parâmetros'!$B$7,'Parâmetros'!$B$5,0))+IF(MAX(0,I26-F26)&gt;'Parâmetros'!$B$7,G26*'Parâmetros'!$B$6/30*MAX(0,I26-F26),0)-0.01),MAX(0,I26-F26),MAX(0,'Parâmetros'!$B$4-F26)))</f>
        <v/>
      </c>
      <c r="K26" s="11">
        <f>IF(J26&gt;'Parâmetros'!$B$7,ROUND(G26*'Parâmetros'!$B$5,2),0)</f>
        <v/>
      </c>
      <c r="L26" s="11">
        <f>IF(J26&gt;'Parâmetros'!$B$7,ROUND(G26*'Parâmetros'!$B$6/30*J26,2),0)</f>
        <v/>
      </c>
      <c r="M26" s="11">
        <f>IF(F26&gt;'Parâmetros'!$B$4,0,G26+K26+L26)</f>
        <v/>
      </c>
      <c r="N26" s="11">
        <f>MAX(0,ROUND(M26-H26,2))</f>
        <v/>
      </c>
      <c r="O26" s="10">
        <f>IF(F26&gt;'Parâmetros'!$B$4,"A vencer",IF(N26=0,IF(J26&gt;'Parâmetros'!$B$7,"Pago com atraso","Pago"),IF(Q26&lt;&gt;"",Q26,IF(H26&gt;0,"Parcial","Em atraso"))))</f>
        <v/>
      </c>
      <c r="P26" s="11">
        <f>IF(F26&gt;'Parâmetros'!$B$4,0,MIN(G26,H26))</f>
        <v/>
      </c>
      <c r="Q26" s="41" t="n"/>
      <c r="R26" s="10">
        <f>IF(N26=0,"",IF(J26&lt;=30,"1 a 30 dias",IF(J26&lt;=60,"31 a 60 dias",IF(J26&lt;=90,"61 a 90 dias","Mais de 90 dias"))))</f>
        <v/>
      </c>
      <c r="S26" s="37" t="n"/>
    </row>
    <row r="27">
      <c r="A27" s="10" t="inlineStr">
        <is>
          <t>C-23</t>
        </is>
      </c>
      <c r="B27" s="37" t="inlineStr">
        <is>
          <t>CT-04</t>
        </is>
      </c>
      <c r="C27" s="19">
        <f>INDEX(Contratos!$B$5:$B$9,MATCH(B27,Contratos!$A$5:$A$9,0))</f>
        <v/>
      </c>
      <c r="D27" s="19">
        <f>INDEX(Contratos!$C$5:$C$9,MATCH(B27,Contratos!$A$5:$A$9,0))</f>
        <v/>
      </c>
      <c r="E27" s="39" t="n">
        <v>46327</v>
      </c>
      <c r="F27" s="40">
        <f>DATE(YEAR(E27),MONTH(E27),INDEX(Contratos!$F$5:$F$9,MATCH(B27,Contratos!$A$5:$A$9,0)))</f>
        <v/>
      </c>
      <c r="G27" s="11">
        <f>INDEX(Contratos!$E$5:$E$9,MATCH(B27,Contratos!$A$5:$A$9,0))</f>
        <v/>
      </c>
      <c r="H27" s="11">
        <f>SUMIFS(Recebimentos!$C$5:$C$200,Recebimentos!$B$5:$B$200,A27)</f>
        <v/>
      </c>
      <c r="I27" s="40">
        <f>IF(H27=0,"",_xlfn.MAXIFS(Recebimentos!$A$5:$A$200,Recebimentos!$B$5:$B$200,A27))</f>
        <v/>
      </c>
      <c r="J27" s="10">
        <f>IF(F27&gt;'Parâmetros'!$B$4,0,IF(IF(I27="",FALSE,H27&gt;=G27*(1+IF(MAX(0,I27-F27)&gt;'Parâmetros'!$B$7,'Parâmetros'!$B$5,0))+IF(MAX(0,I27-F27)&gt;'Parâmetros'!$B$7,G27*'Parâmetros'!$B$6/30*MAX(0,I27-F27),0)-0.01),MAX(0,I27-F27),MAX(0,'Parâmetros'!$B$4-F27)))</f>
        <v/>
      </c>
      <c r="K27" s="11">
        <f>IF(J27&gt;'Parâmetros'!$B$7,ROUND(G27*'Parâmetros'!$B$5,2),0)</f>
        <v/>
      </c>
      <c r="L27" s="11">
        <f>IF(J27&gt;'Parâmetros'!$B$7,ROUND(G27*'Parâmetros'!$B$6/30*J27,2),0)</f>
        <v/>
      </c>
      <c r="M27" s="11">
        <f>IF(F27&gt;'Parâmetros'!$B$4,0,G27+K27+L27)</f>
        <v/>
      </c>
      <c r="N27" s="11">
        <f>MAX(0,ROUND(M27-H27,2))</f>
        <v/>
      </c>
      <c r="O27" s="10">
        <f>IF(F27&gt;'Parâmetros'!$B$4,"A vencer",IF(N27=0,IF(J27&gt;'Parâmetros'!$B$7,"Pago com atraso","Pago"),IF(Q27&lt;&gt;"",Q27,IF(H27&gt;0,"Parcial","Em atraso"))))</f>
        <v/>
      </c>
      <c r="P27" s="11">
        <f>IF(F27&gt;'Parâmetros'!$B$4,0,MIN(G27,H27))</f>
        <v/>
      </c>
      <c r="Q27" s="41" t="n"/>
      <c r="R27" s="10">
        <f>IF(N27=0,"",IF(J27&lt;=30,"1 a 30 dias",IF(J27&lt;=60,"31 a 60 dias",IF(J27&lt;=90,"61 a 90 dias","Mais de 90 dias"))))</f>
        <v/>
      </c>
      <c r="S27" s="37" t="n"/>
    </row>
    <row r="28">
      <c r="A28" s="10" t="inlineStr">
        <is>
          <t>C-24</t>
        </is>
      </c>
      <c r="B28" s="37" t="inlineStr">
        <is>
          <t>CT-04</t>
        </is>
      </c>
      <c r="C28" s="19">
        <f>INDEX(Contratos!$B$5:$B$9,MATCH(B28,Contratos!$A$5:$A$9,0))</f>
        <v/>
      </c>
      <c r="D28" s="19">
        <f>INDEX(Contratos!$C$5:$C$9,MATCH(B28,Contratos!$A$5:$A$9,0))</f>
        <v/>
      </c>
      <c r="E28" s="39" t="n">
        <v>46357</v>
      </c>
      <c r="F28" s="40">
        <f>DATE(YEAR(E28),MONTH(E28),INDEX(Contratos!$F$5:$F$9,MATCH(B28,Contratos!$A$5:$A$9,0)))</f>
        <v/>
      </c>
      <c r="G28" s="11">
        <f>INDEX(Contratos!$E$5:$E$9,MATCH(B28,Contratos!$A$5:$A$9,0))</f>
        <v/>
      </c>
      <c r="H28" s="11">
        <f>SUMIFS(Recebimentos!$C$5:$C$200,Recebimentos!$B$5:$B$200,A28)</f>
        <v/>
      </c>
      <c r="I28" s="40">
        <f>IF(H28=0,"",_xlfn.MAXIFS(Recebimentos!$A$5:$A$200,Recebimentos!$B$5:$B$200,A28))</f>
        <v/>
      </c>
      <c r="J28" s="10">
        <f>IF(F28&gt;'Parâmetros'!$B$4,0,IF(IF(I28="",FALSE,H28&gt;=G28*(1+IF(MAX(0,I28-F28)&gt;'Parâmetros'!$B$7,'Parâmetros'!$B$5,0))+IF(MAX(0,I28-F28)&gt;'Parâmetros'!$B$7,G28*'Parâmetros'!$B$6/30*MAX(0,I28-F28),0)-0.01),MAX(0,I28-F28),MAX(0,'Parâmetros'!$B$4-F28)))</f>
        <v/>
      </c>
      <c r="K28" s="11">
        <f>IF(J28&gt;'Parâmetros'!$B$7,ROUND(G28*'Parâmetros'!$B$5,2),0)</f>
        <v/>
      </c>
      <c r="L28" s="11">
        <f>IF(J28&gt;'Parâmetros'!$B$7,ROUND(G28*'Parâmetros'!$B$6/30*J28,2),0)</f>
        <v/>
      </c>
      <c r="M28" s="11">
        <f>IF(F28&gt;'Parâmetros'!$B$4,0,G28+K28+L28)</f>
        <v/>
      </c>
      <c r="N28" s="11">
        <f>MAX(0,ROUND(M28-H28,2))</f>
        <v/>
      </c>
      <c r="O28" s="10">
        <f>IF(F28&gt;'Parâmetros'!$B$4,"A vencer",IF(N28=0,IF(J28&gt;'Parâmetros'!$B$7,"Pago com atraso","Pago"),IF(Q28&lt;&gt;"",Q28,IF(H28&gt;0,"Parcial","Em atraso"))))</f>
        <v/>
      </c>
      <c r="P28" s="11">
        <f>IF(F28&gt;'Parâmetros'!$B$4,0,MIN(G28,H28))</f>
        <v/>
      </c>
      <c r="Q28" s="41" t="n"/>
      <c r="R28" s="10">
        <f>IF(N28=0,"",IF(J28&lt;=30,"1 a 30 dias",IF(J28&lt;=60,"31 a 60 dias",IF(J28&lt;=90,"61 a 90 dias","Mais de 90 dias"))))</f>
        <v/>
      </c>
      <c r="S28" s="37" t="n"/>
    </row>
    <row r="29">
      <c r="A29" s="10" t="inlineStr">
        <is>
          <t>C-25</t>
        </is>
      </c>
      <c r="B29" s="37" t="inlineStr">
        <is>
          <t>CT-05</t>
        </is>
      </c>
      <c r="C29" s="19">
        <f>INDEX(Contratos!$B$5:$B$9,MATCH(B29,Contratos!$A$5:$A$9,0))</f>
        <v/>
      </c>
      <c r="D29" s="19">
        <f>INDEX(Contratos!$C$5:$C$9,MATCH(B29,Contratos!$A$5:$A$9,0))</f>
        <v/>
      </c>
      <c r="E29" s="39" t="n">
        <v>46204</v>
      </c>
      <c r="F29" s="40">
        <f>DATE(YEAR(E29),MONTH(E29),INDEX(Contratos!$F$5:$F$9,MATCH(B29,Contratos!$A$5:$A$9,0)))</f>
        <v/>
      </c>
      <c r="G29" s="11">
        <f>INDEX(Contratos!$E$5:$E$9,MATCH(B29,Contratos!$A$5:$A$9,0))</f>
        <v/>
      </c>
      <c r="H29" s="11">
        <f>SUMIFS(Recebimentos!$C$5:$C$200,Recebimentos!$B$5:$B$200,A29)</f>
        <v/>
      </c>
      <c r="I29" s="40">
        <f>IF(H29=0,"",_xlfn.MAXIFS(Recebimentos!$A$5:$A$200,Recebimentos!$B$5:$B$200,A29))</f>
        <v/>
      </c>
      <c r="J29" s="10">
        <f>IF(F29&gt;'Parâmetros'!$B$4,0,IF(IF(I29="",FALSE,H29&gt;=G29*(1+IF(MAX(0,I29-F29)&gt;'Parâmetros'!$B$7,'Parâmetros'!$B$5,0))+IF(MAX(0,I29-F29)&gt;'Parâmetros'!$B$7,G29*'Parâmetros'!$B$6/30*MAX(0,I29-F29),0)-0.01),MAX(0,I29-F29),MAX(0,'Parâmetros'!$B$4-F29)))</f>
        <v/>
      </c>
      <c r="K29" s="11">
        <f>IF(J29&gt;'Parâmetros'!$B$7,ROUND(G29*'Parâmetros'!$B$5,2),0)</f>
        <v/>
      </c>
      <c r="L29" s="11">
        <f>IF(J29&gt;'Parâmetros'!$B$7,ROUND(G29*'Parâmetros'!$B$6/30*J29,2),0)</f>
        <v/>
      </c>
      <c r="M29" s="11">
        <f>IF(F29&gt;'Parâmetros'!$B$4,0,G29+K29+L29)</f>
        <v/>
      </c>
      <c r="N29" s="11">
        <f>MAX(0,ROUND(M29-H29,2))</f>
        <v/>
      </c>
      <c r="O29" s="10">
        <f>IF(F29&gt;'Parâmetros'!$B$4,"A vencer",IF(N29=0,IF(J29&gt;'Parâmetros'!$B$7,"Pago com atraso","Pago"),IF(Q29&lt;&gt;"",Q29,IF(H29&gt;0,"Parcial","Em atraso"))))</f>
        <v/>
      </c>
      <c r="P29" s="11">
        <f>IF(F29&gt;'Parâmetros'!$B$4,0,MIN(G29,H29))</f>
        <v/>
      </c>
      <c r="Q29" s="41" t="n"/>
      <c r="R29" s="10">
        <f>IF(N29=0,"",IF(J29&lt;=30,"1 a 30 dias",IF(J29&lt;=60,"31 a 60 dias",IF(J29&lt;=90,"61 a 90 dias","Mais de 90 dias"))))</f>
        <v/>
      </c>
      <c r="S29" s="37" t="n"/>
    </row>
    <row r="30">
      <c r="A30" s="10" t="inlineStr">
        <is>
          <t>C-26</t>
        </is>
      </c>
      <c r="B30" s="37" t="inlineStr">
        <is>
          <t>CT-05</t>
        </is>
      </c>
      <c r="C30" s="19">
        <f>INDEX(Contratos!$B$5:$B$9,MATCH(B30,Contratos!$A$5:$A$9,0))</f>
        <v/>
      </c>
      <c r="D30" s="19">
        <f>INDEX(Contratos!$C$5:$C$9,MATCH(B30,Contratos!$A$5:$A$9,0))</f>
        <v/>
      </c>
      <c r="E30" s="39" t="n">
        <v>46235</v>
      </c>
      <c r="F30" s="40">
        <f>DATE(YEAR(E30),MONTH(E30),INDEX(Contratos!$F$5:$F$9,MATCH(B30,Contratos!$A$5:$A$9,0)))</f>
        <v/>
      </c>
      <c r="G30" s="11">
        <f>INDEX(Contratos!$E$5:$E$9,MATCH(B30,Contratos!$A$5:$A$9,0))</f>
        <v/>
      </c>
      <c r="H30" s="11">
        <f>SUMIFS(Recebimentos!$C$5:$C$200,Recebimentos!$B$5:$B$200,A30)</f>
        <v/>
      </c>
      <c r="I30" s="40">
        <f>IF(H30=0,"",_xlfn.MAXIFS(Recebimentos!$A$5:$A$200,Recebimentos!$B$5:$B$200,A30))</f>
        <v/>
      </c>
      <c r="J30" s="10">
        <f>IF(F30&gt;'Parâmetros'!$B$4,0,IF(IF(I30="",FALSE,H30&gt;=G30*(1+IF(MAX(0,I30-F30)&gt;'Parâmetros'!$B$7,'Parâmetros'!$B$5,0))+IF(MAX(0,I30-F30)&gt;'Parâmetros'!$B$7,G30*'Parâmetros'!$B$6/30*MAX(0,I30-F30),0)-0.01),MAX(0,I30-F30),MAX(0,'Parâmetros'!$B$4-F30)))</f>
        <v/>
      </c>
      <c r="K30" s="11">
        <f>IF(J30&gt;'Parâmetros'!$B$7,ROUND(G30*'Parâmetros'!$B$5,2),0)</f>
        <v/>
      </c>
      <c r="L30" s="11">
        <f>IF(J30&gt;'Parâmetros'!$B$7,ROUND(G30*'Parâmetros'!$B$6/30*J30,2),0)</f>
        <v/>
      </c>
      <c r="M30" s="11">
        <f>IF(F30&gt;'Parâmetros'!$B$4,0,G30+K30+L30)</f>
        <v/>
      </c>
      <c r="N30" s="11">
        <f>MAX(0,ROUND(M30-H30,2))</f>
        <v/>
      </c>
      <c r="O30" s="10">
        <f>IF(F30&gt;'Parâmetros'!$B$4,"A vencer",IF(N30=0,IF(J30&gt;'Parâmetros'!$B$7,"Pago com atraso","Pago"),IF(Q30&lt;&gt;"",Q30,IF(H30&gt;0,"Parcial","Em atraso"))))</f>
        <v/>
      </c>
      <c r="P30" s="11">
        <f>IF(F30&gt;'Parâmetros'!$B$4,0,MIN(G30,H30))</f>
        <v/>
      </c>
      <c r="Q30" s="41" t="inlineStr">
        <is>
          <t>Cobrança judicial</t>
        </is>
      </c>
      <c r="R30" s="10">
        <f>IF(N30=0,"",IF(J30&lt;=30,"1 a 30 dias",IF(J30&lt;=60,"31 a 60 dias",IF(J30&lt;=90,"61 a 90 dias","Mais de 90 dias"))))</f>
        <v/>
      </c>
      <c r="S30" s="37" t="inlineStr">
        <is>
          <t>Ação de despejo por falta de pagamento ajuizada em 15/10/2026</t>
        </is>
      </c>
    </row>
    <row r="31">
      <c r="A31" s="10" t="inlineStr">
        <is>
          <t>C-27</t>
        </is>
      </c>
      <c r="B31" s="37" t="inlineStr">
        <is>
          <t>CT-05</t>
        </is>
      </c>
      <c r="C31" s="19">
        <f>INDEX(Contratos!$B$5:$B$9,MATCH(B31,Contratos!$A$5:$A$9,0))</f>
        <v/>
      </c>
      <c r="D31" s="19">
        <f>INDEX(Contratos!$C$5:$C$9,MATCH(B31,Contratos!$A$5:$A$9,0))</f>
        <v/>
      </c>
      <c r="E31" s="39" t="n">
        <v>46266</v>
      </c>
      <c r="F31" s="40">
        <f>DATE(YEAR(E31),MONTH(E31),INDEX(Contratos!$F$5:$F$9,MATCH(B31,Contratos!$A$5:$A$9,0)))</f>
        <v/>
      </c>
      <c r="G31" s="11">
        <f>INDEX(Contratos!$E$5:$E$9,MATCH(B31,Contratos!$A$5:$A$9,0))</f>
        <v/>
      </c>
      <c r="H31" s="11">
        <f>SUMIFS(Recebimentos!$C$5:$C$200,Recebimentos!$B$5:$B$200,A31)</f>
        <v/>
      </c>
      <c r="I31" s="40">
        <f>IF(H31=0,"",_xlfn.MAXIFS(Recebimentos!$A$5:$A$200,Recebimentos!$B$5:$B$200,A31))</f>
        <v/>
      </c>
      <c r="J31" s="10">
        <f>IF(F31&gt;'Parâmetros'!$B$4,0,IF(IF(I31="",FALSE,H31&gt;=G31*(1+IF(MAX(0,I31-F31)&gt;'Parâmetros'!$B$7,'Parâmetros'!$B$5,0))+IF(MAX(0,I31-F31)&gt;'Parâmetros'!$B$7,G31*'Parâmetros'!$B$6/30*MAX(0,I31-F31),0)-0.01),MAX(0,I31-F31),MAX(0,'Parâmetros'!$B$4-F31)))</f>
        <v/>
      </c>
      <c r="K31" s="11">
        <f>IF(J31&gt;'Parâmetros'!$B$7,ROUND(G31*'Parâmetros'!$B$5,2),0)</f>
        <v/>
      </c>
      <c r="L31" s="11">
        <f>IF(J31&gt;'Parâmetros'!$B$7,ROUND(G31*'Parâmetros'!$B$6/30*J31,2),0)</f>
        <v/>
      </c>
      <c r="M31" s="11">
        <f>IF(F31&gt;'Parâmetros'!$B$4,0,G31+K31+L31)</f>
        <v/>
      </c>
      <c r="N31" s="11">
        <f>MAX(0,ROUND(M31-H31,2))</f>
        <v/>
      </c>
      <c r="O31" s="10">
        <f>IF(F31&gt;'Parâmetros'!$B$4,"A vencer",IF(N31=0,IF(J31&gt;'Parâmetros'!$B$7,"Pago com atraso","Pago"),IF(Q31&lt;&gt;"",Q31,IF(H31&gt;0,"Parcial","Em atraso"))))</f>
        <v/>
      </c>
      <c r="P31" s="11">
        <f>IF(F31&gt;'Parâmetros'!$B$4,0,MIN(G31,H31))</f>
        <v/>
      </c>
      <c r="Q31" s="41" t="inlineStr">
        <is>
          <t>Cobrança judicial</t>
        </is>
      </c>
      <c r="R31" s="10">
        <f>IF(N31=0,"",IF(J31&lt;=30,"1 a 30 dias",IF(J31&lt;=60,"31 a 60 dias",IF(J31&lt;=90,"61 a 90 dias","Mais de 90 dias"))))</f>
        <v/>
      </c>
      <c r="S31" s="37" t="inlineStr">
        <is>
          <t>Incluída na ação de despejo</t>
        </is>
      </c>
    </row>
    <row r="32">
      <c r="A32" s="10" t="inlineStr">
        <is>
          <t>C-28</t>
        </is>
      </c>
      <c r="B32" s="37" t="inlineStr">
        <is>
          <t>CT-05</t>
        </is>
      </c>
      <c r="C32" s="19">
        <f>INDEX(Contratos!$B$5:$B$9,MATCH(B32,Contratos!$A$5:$A$9,0))</f>
        <v/>
      </c>
      <c r="D32" s="19">
        <f>INDEX(Contratos!$C$5:$C$9,MATCH(B32,Contratos!$A$5:$A$9,0))</f>
        <v/>
      </c>
      <c r="E32" s="39" t="n">
        <v>46296</v>
      </c>
      <c r="F32" s="40">
        <f>DATE(YEAR(E32),MONTH(E32),INDEX(Contratos!$F$5:$F$9,MATCH(B32,Contratos!$A$5:$A$9,0)))</f>
        <v/>
      </c>
      <c r="G32" s="11">
        <f>INDEX(Contratos!$E$5:$E$9,MATCH(B32,Contratos!$A$5:$A$9,0))</f>
        <v/>
      </c>
      <c r="H32" s="11">
        <f>SUMIFS(Recebimentos!$C$5:$C$200,Recebimentos!$B$5:$B$200,A32)</f>
        <v/>
      </c>
      <c r="I32" s="40">
        <f>IF(H32=0,"",_xlfn.MAXIFS(Recebimentos!$A$5:$A$200,Recebimentos!$B$5:$B$200,A32))</f>
        <v/>
      </c>
      <c r="J32" s="10">
        <f>IF(F32&gt;'Parâmetros'!$B$4,0,IF(IF(I32="",FALSE,H32&gt;=G32*(1+IF(MAX(0,I32-F32)&gt;'Parâmetros'!$B$7,'Parâmetros'!$B$5,0))+IF(MAX(0,I32-F32)&gt;'Parâmetros'!$B$7,G32*'Parâmetros'!$B$6/30*MAX(0,I32-F32),0)-0.01),MAX(0,I32-F32),MAX(0,'Parâmetros'!$B$4-F32)))</f>
        <v/>
      </c>
      <c r="K32" s="11">
        <f>IF(J32&gt;'Parâmetros'!$B$7,ROUND(G32*'Parâmetros'!$B$5,2),0)</f>
        <v/>
      </c>
      <c r="L32" s="11">
        <f>IF(J32&gt;'Parâmetros'!$B$7,ROUND(G32*'Parâmetros'!$B$6/30*J32,2),0)</f>
        <v/>
      </c>
      <c r="M32" s="11">
        <f>IF(F32&gt;'Parâmetros'!$B$4,0,G32+K32+L32)</f>
        <v/>
      </c>
      <c r="N32" s="11">
        <f>MAX(0,ROUND(M32-H32,2))</f>
        <v/>
      </c>
      <c r="O32" s="10">
        <f>IF(F32&gt;'Parâmetros'!$B$4,"A vencer",IF(N32=0,IF(J32&gt;'Parâmetros'!$B$7,"Pago com atraso","Pago"),IF(Q32&lt;&gt;"",Q32,IF(H32&gt;0,"Parcial","Em atraso"))))</f>
        <v/>
      </c>
      <c r="P32" s="11">
        <f>IF(F32&gt;'Parâmetros'!$B$4,0,MIN(G32,H32))</f>
        <v/>
      </c>
      <c r="Q32" s="41" t="inlineStr">
        <is>
          <t>Cobrança judicial</t>
        </is>
      </c>
      <c r="R32" s="10">
        <f>IF(N32=0,"",IF(J32&lt;=30,"1 a 30 dias",IF(J32&lt;=60,"31 a 60 dias",IF(J32&lt;=90,"61 a 90 dias","Mais de 90 dias"))))</f>
        <v/>
      </c>
      <c r="S32" s="37" t="inlineStr">
        <is>
          <t>Incluída na ação de despejo</t>
        </is>
      </c>
    </row>
    <row r="33">
      <c r="A33" s="10" t="inlineStr">
        <is>
          <t>C-29</t>
        </is>
      </c>
      <c r="B33" s="37" t="inlineStr">
        <is>
          <t>CT-05</t>
        </is>
      </c>
      <c r="C33" s="19">
        <f>INDEX(Contratos!$B$5:$B$9,MATCH(B33,Contratos!$A$5:$A$9,0))</f>
        <v/>
      </c>
      <c r="D33" s="19">
        <f>INDEX(Contratos!$C$5:$C$9,MATCH(B33,Contratos!$A$5:$A$9,0))</f>
        <v/>
      </c>
      <c r="E33" s="39" t="n">
        <v>46327</v>
      </c>
      <c r="F33" s="40">
        <f>DATE(YEAR(E33),MONTH(E33),INDEX(Contratos!$F$5:$F$9,MATCH(B33,Contratos!$A$5:$A$9,0)))</f>
        <v/>
      </c>
      <c r="G33" s="11">
        <f>INDEX(Contratos!$E$5:$E$9,MATCH(B33,Contratos!$A$5:$A$9,0))</f>
        <v/>
      </c>
      <c r="H33" s="11">
        <f>SUMIFS(Recebimentos!$C$5:$C$200,Recebimentos!$B$5:$B$200,A33)</f>
        <v/>
      </c>
      <c r="I33" s="40">
        <f>IF(H33=0,"",_xlfn.MAXIFS(Recebimentos!$A$5:$A$200,Recebimentos!$B$5:$B$200,A33))</f>
        <v/>
      </c>
      <c r="J33" s="10">
        <f>IF(F33&gt;'Parâmetros'!$B$4,0,IF(IF(I33="",FALSE,H33&gt;=G33*(1+IF(MAX(0,I33-F33)&gt;'Parâmetros'!$B$7,'Parâmetros'!$B$5,0))+IF(MAX(0,I33-F33)&gt;'Parâmetros'!$B$7,G33*'Parâmetros'!$B$6/30*MAX(0,I33-F33),0)-0.01),MAX(0,I33-F33),MAX(0,'Parâmetros'!$B$4-F33)))</f>
        <v/>
      </c>
      <c r="K33" s="11">
        <f>IF(J33&gt;'Parâmetros'!$B$7,ROUND(G33*'Parâmetros'!$B$5,2),0)</f>
        <v/>
      </c>
      <c r="L33" s="11">
        <f>IF(J33&gt;'Parâmetros'!$B$7,ROUND(G33*'Parâmetros'!$B$6/30*J33,2),0)</f>
        <v/>
      </c>
      <c r="M33" s="11">
        <f>IF(F33&gt;'Parâmetros'!$B$4,0,G33+K33+L33)</f>
        <v/>
      </c>
      <c r="N33" s="11">
        <f>MAX(0,ROUND(M33-H33,2))</f>
        <v/>
      </c>
      <c r="O33" s="10">
        <f>IF(F33&gt;'Parâmetros'!$B$4,"A vencer",IF(N33=0,IF(J33&gt;'Parâmetros'!$B$7,"Pago com atraso","Pago"),IF(Q33&lt;&gt;"",Q33,IF(H33&gt;0,"Parcial","Em atraso"))))</f>
        <v/>
      </c>
      <c r="P33" s="11">
        <f>IF(F33&gt;'Parâmetros'!$B$4,0,MIN(G33,H33))</f>
        <v/>
      </c>
      <c r="Q33" s="41" t="n"/>
      <c r="R33" s="10">
        <f>IF(N33=0,"",IF(J33&lt;=30,"1 a 30 dias",IF(J33&lt;=60,"31 a 60 dias",IF(J33&lt;=90,"61 a 90 dias","Mais de 90 dias"))))</f>
        <v/>
      </c>
      <c r="S33" s="37" t="n"/>
    </row>
    <row r="34">
      <c r="A34" s="10" t="inlineStr">
        <is>
          <t>C-30</t>
        </is>
      </c>
      <c r="B34" s="37" t="inlineStr">
        <is>
          <t>CT-05</t>
        </is>
      </c>
      <c r="C34" s="19">
        <f>INDEX(Contratos!$B$5:$B$9,MATCH(B34,Contratos!$A$5:$A$9,0))</f>
        <v/>
      </c>
      <c r="D34" s="19">
        <f>INDEX(Contratos!$C$5:$C$9,MATCH(B34,Contratos!$A$5:$A$9,0))</f>
        <v/>
      </c>
      <c r="E34" s="39" t="n">
        <v>46357</v>
      </c>
      <c r="F34" s="40">
        <f>DATE(YEAR(E34),MONTH(E34),INDEX(Contratos!$F$5:$F$9,MATCH(B34,Contratos!$A$5:$A$9,0)))</f>
        <v/>
      </c>
      <c r="G34" s="11">
        <f>INDEX(Contratos!$E$5:$E$9,MATCH(B34,Contratos!$A$5:$A$9,0))</f>
        <v/>
      </c>
      <c r="H34" s="11">
        <f>SUMIFS(Recebimentos!$C$5:$C$200,Recebimentos!$B$5:$B$200,A34)</f>
        <v/>
      </c>
      <c r="I34" s="40">
        <f>IF(H34=0,"",_xlfn.MAXIFS(Recebimentos!$A$5:$A$200,Recebimentos!$B$5:$B$200,A34))</f>
        <v/>
      </c>
      <c r="J34" s="10">
        <f>IF(F34&gt;'Parâmetros'!$B$4,0,IF(IF(I34="",FALSE,H34&gt;=G34*(1+IF(MAX(0,I34-F34)&gt;'Parâmetros'!$B$7,'Parâmetros'!$B$5,0))+IF(MAX(0,I34-F34)&gt;'Parâmetros'!$B$7,G34*'Parâmetros'!$B$6/30*MAX(0,I34-F34),0)-0.01),MAX(0,I34-F34),MAX(0,'Parâmetros'!$B$4-F34)))</f>
        <v/>
      </c>
      <c r="K34" s="11">
        <f>IF(J34&gt;'Parâmetros'!$B$7,ROUND(G34*'Parâmetros'!$B$5,2),0)</f>
        <v/>
      </c>
      <c r="L34" s="11">
        <f>IF(J34&gt;'Parâmetros'!$B$7,ROUND(G34*'Parâmetros'!$B$6/30*J34,2),0)</f>
        <v/>
      </c>
      <c r="M34" s="11">
        <f>IF(F34&gt;'Parâmetros'!$B$4,0,G34+K34+L34)</f>
        <v/>
      </c>
      <c r="N34" s="11">
        <f>MAX(0,ROUND(M34-H34,2))</f>
        <v/>
      </c>
      <c r="O34" s="10">
        <f>IF(F34&gt;'Parâmetros'!$B$4,"A vencer",IF(N34=0,IF(J34&gt;'Parâmetros'!$B$7,"Pago com atraso","Pago"),IF(Q34&lt;&gt;"",Q34,IF(H34&gt;0,"Parcial","Em atraso"))))</f>
        <v/>
      </c>
      <c r="P34" s="11">
        <f>IF(F34&gt;'Parâmetros'!$B$4,0,MIN(G34,H34))</f>
        <v/>
      </c>
      <c r="Q34" s="41" t="n"/>
      <c r="R34" s="10">
        <f>IF(N34=0,"",IF(J34&lt;=30,"1 a 30 dias",IF(J34&lt;=60,"31 a 60 dias",IF(J34&lt;=90,"61 a 90 dias","Mais de 90 dias"))))</f>
        <v/>
      </c>
      <c r="S34" s="37" t="n"/>
    </row>
  </sheetData>
  <conditionalFormatting sqref="O5:O34">
    <cfRule type="expression" priority="1" dxfId="0">
      <formula>$O5="Em atraso"</formula>
    </cfRule>
    <cfRule type="expression" priority="2" dxfId="1">
      <formula>$O5="Parcial"</formula>
    </cfRule>
    <cfRule type="expression" priority="3" dxfId="2">
      <formula>$O5="Em acordo"</formula>
    </cfRule>
    <cfRule type="expression" priority="4" dxfId="3">
      <formula>$O5="Cobrança judicial"</formula>
    </cfRule>
    <cfRule type="expression" priority="5" dxfId="4">
      <formula>$O5="Pago com atraso"</formula>
    </cfRule>
    <cfRule type="expression" priority="6" dxfId="5">
      <formula>$O5="Pago"</formula>
    </cfRule>
  </conditionalFormatting>
  <dataValidations count="1">
    <dataValidation sqref="Q5:Q34" showDropDown="0" showInputMessage="0" showErrorMessage="0" allowBlank="1" type="list">
      <formula1>"Em acordo,Cobrança judicial"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2" customWidth="1" min="4" max="4"/>
    <col width="14" customWidth="1" min="5" max="5"/>
    <col width="11" customWidth="1" min="6" max="6"/>
    <col width="11" customWidth="1" min="7" max="7"/>
    <col width="20" customWidth="1" min="8" max="8"/>
    <col width="14" customWidth="1" min="9" max="9"/>
    <col width="11" customWidth="1" min="10" max="10"/>
  </cols>
  <sheetData>
    <row r="1">
      <c r="A1" s="1" t="inlineStr">
        <is>
          <t>Contratos de locação</t>
        </is>
      </c>
    </row>
    <row r="2">
      <c r="A2" s="2" t="inlineStr">
        <is>
          <t>Valor do aluguel, vencimento, índice de reajuste e garantia.</t>
        </is>
      </c>
    </row>
    <row r="4" ht="32" customHeight="1">
      <c r="A4" s="18" t="inlineStr">
        <is>
          <t>Contrato</t>
        </is>
      </c>
      <c r="B4" s="18" t="inlineStr">
        <is>
          <t>Imóvel</t>
        </is>
      </c>
      <c r="C4" s="18" t="inlineStr">
        <is>
          <t>Inquilino</t>
        </is>
      </c>
      <c r="D4" s="18" t="inlineStr">
        <is>
          <t>Início</t>
        </is>
      </c>
      <c r="E4" s="18" t="inlineStr">
        <is>
          <t>Aluguel (R$)</t>
        </is>
      </c>
      <c r="F4" s="18" t="inlineStr">
        <is>
          <t>Dia do vencimento</t>
        </is>
      </c>
      <c r="G4" s="18" t="inlineStr">
        <is>
          <t>Índice de reajuste</t>
        </is>
      </c>
      <c r="H4" s="18" t="inlineStr">
        <is>
          <t>Garantia</t>
        </is>
      </c>
      <c r="I4" s="18" t="inlineStr">
        <is>
          <t>Próximo reajuste</t>
        </is>
      </c>
      <c r="J4" s="18" t="inlineStr">
        <is>
          <t>Dias até o reajuste</t>
        </is>
      </c>
    </row>
    <row r="5">
      <c r="A5" s="37" t="inlineStr">
        <is>
          <t>CT-01</t>
        </is>
      </c>
      <c r="B5" s="37" t="inlineStr">
        <is>
          <t>I01</t>
        </is>
      </c>
      <c r="C5" s="37" t="inlineStr">
        <is>
          <t>Marina L.</t>
        </is>
      </c>
      <c r="D5" s="36" t="n">
        <v>45976</v>
      </c>
      <c r="E5" s="38" t="n">
        <v>2800</v>
      </c>
      <c r="F5" s="37" t="n">
        <v>5</v>
      </c>
      <c r="G5" s="37" t="inlineStr">
        <is>
          <t>IGP-M</t>
        </is>
      </c>
      <c r="H5" s="37" t="inlineStr">
        <is>
          <t>Seguro fiança</t>
        </is>
      </c>
      <c r="I5" s="40">
        <f>DATE(YEAR('Parâmetros'!$B$4)+IF(DATE(YEAR('Parâmetros'!$B$4),MONTH(D5),DAY(D5))&lt;='Parâmetros'!$B$4,1,0),MONTH(D5),DAY(D5))</f>
        <v/>
      </c>
      <c r="J5" s="10">
        <f>I5-'Parâmetros'!$B$4</f>
        <v/>
      </c>
    </row>
    <row r="6">
      <c r="A6" s="37" t="inlineStr">
        <is>
          <t>CT-02</t>
        </is>
      </c>
      <c r="B6" s="37" t="inlineStr">
        <is>
          <t>I02</t>
        </is>
      </c>
      <c r="C6" s="37" t="inlineStr">
        <is>
          <t>Pedro R.</t>
        </is>
      </c>
      <c r="D6" s="36" t="n">
        <v>45352</v>
      </c>
      <c r="E6" s="38" t="n">
        <v>3500</v>
      </c>
      <c r="F6" s="37" t="n">
        <v>5</v>
      </c>
      <c r="G6" s="37" t="inlineStr">
        <is>
          <t>IPCA</t>
        </is>
      </c>
      <c r="H6" s="37" t="inlineStr">
        <is>
          <t>Fiador</t>
        </is>
      </c>
      <c r="I6" s="40">
        <f>DATE(YEAR('Parâmetros'!$B$4)+IF(DATE(YEAR('Parâmetros'!$B$4),MONTH(D6),DAY(D6))&lt;='Parâmetros'!$B$4,1,0),MONTH(D6),DAY(D6))</f>
        <v/>
      </c>
      <c r="J6" s="10">
        <f>I6-'Parâmetros'!$B$4</f>
        <v/>
      </c>
    </row>
    <row r="7">
      <c r="A7" s="37" t="inlineStr">
        <is>
          <t>CT-03</t>
        </is>
      </c>
      <c r="B7" s="37" t="inlineStr">
        <is>
          <t>I03</t>
        </is>
      </c>
      <c r="C7" s="37" t="inlineStr">
        <is>
          <t>Lucas F. ME</t>
        </is>
      </c>
      <c r="D7" s="36" t="n">
        <v>46032</v>
      </c>
      <c r="E7" s="38" t="n">
        <v>1900</v>
      </c>
      <c r="F7" s="37" t="n">
        <v>10</v>
      </c>
      <c r="G7" s="37" t="inlineStr">
        <is>
          <t>IGP-M</t>
        </is>
      </c>
      <c r="H7" s="37" t="inlineStr">
        <is>
          <t>Caução (3 aluguéis)</t>
        </is>
      </c>
      <c r="I7" s="40">
        <f>DATE(YEAR('Parâmetros'!$B$4)+IF(DATE(YEAR('Parâmetros'!$B$4),MONTH(D7),DAY(D7))&lt;='Parâmetros'!$B$4,1,0),MONTH(D7),DAY(D7))</f>
        <v/>
      </c>
      <c r="J7" s="10">
        <f>I7-'Parâmetros'!$B$4</f>
        <v/>
      </c>
    </row>
    <row r="8">
      <c r="A8" s="37" t="inlineStr">
        <is>
          <t>CT-04</t>
        </is>
      </c>
      <c r="B8" s="37" t="inlineStr">
        <is>
          <t>I04</t>
        </is>
      </c>
      <c r="C8" s="37" t="inlineStr">
        <is>
          <t>Juliana T.</t>
        </is>
      </c>
      <c r="D8" s="36" t="n">
        <v>45996</v>
      </c>
      <c r="E8" s="38" t="n">
        <v>4200</v>
      </c>
      <c r="F8" s="37" t="n">
        <v>5</v>
      </c>
      <c r="G8" s="37" t="inlineStr">
        <is>
          <t>IPCA</t>
        </is>
      </c>
      <c r="H8" s="37" t="inlineStr">
        <is>
          <t>Seguro fiança</t>
        </is>
      </c>
      <c r="I8" s="40">
        <f>DATE(YEAR('Parâmetros'!$B$4)+IF(DATE(YEAR('Parâmetros'!$B$4),MONTH(D8),DAY(D8))&lt;='Parâmetros'!$B$4,1,0),MONTH(D8),DAY(D8))</f>
        <v/>
      </c>
      <c r="J8" s="10">
        <f>I8-'Parâmetros'!$B$4</f>
        <v/>
      </c>
    </row>
    <row r="9">
      <c r="A9" s="37" t="inlineStr">
        <is>
          <t>CT-05</t>
        </is>
      </c>
      <c r="B9" s="37" t="inlineStr">
        <is>
          <t>I05</t>
        </is>
      </c>
      <c r="C9" s="37" t="inlineStr">
        <is>
          <t>Rafael G.</t>
        </is>
      </c>
      <c r="D9" s="36" t="n">
        <v>45809</v>
      </c>
      <c r="E9" s="38" t="n">
        <v>2300</v>
      </c>
      <c r="F9" s="37" t="n">
        <v>5</v>
      </c>
      <c r="G9" s="37" t="inlineStr">
        <is>
          <t>IGP-M</t>
        </is>
      </c>
      <c r="H9" s="37" t="inlineStr">
        <is>
          <t>Fiador</t>
        </is>
      </c>
      <c r="I9" s="40">
        <f>DATE(YEAR('Parâmetros'!$B$4)+IF(DATE(YEAR('Parâmetros'!$B$4),MONTH(D9),DAY(D9))&lt;='Parâmetros'!$B$4,1,0),MONTH(D9),DAY(D9))</f>
        <v/>
      </c>
      <c r="J9" s="10">
        <f>I9-'Parâmetros'!$B$4</f>
        <v/>
      </c>
    </row>
  </sheetData>
  <conditionalFormatting sqref="I5:J9">
    <cfRule type="expression" priority="1" dxfId="1">
      <formula>$J5&lt;=60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4" customWidth="1" min="3" max="3"/>
    <col width="16" customWidth="1" min="4" max="4"/>
    <col width="10" customWidth="1" min="5" max="5"/>
  </cols>
  <sheetData>
    <row r="1">
      <c r="A1" s="1" t="inlineStr">
        <is>
          <t>Imóveis</t>
        </is>
      </c>
    </row>
    <row r="2">
      <c r="A2" s="2" t="inlineStr">
        <is>
          <t>Curitiba - PR. Endereços fictícios.</t>
        </is>
      </c>
    </row>
    <row r="4" ht="32" customHeight="1">
      <c r="A4" s="18" t="inlineStr">
        <is>
          <t>Imóvel</t>
        </is>
      </c>
      <c r="B4" s="18" t="inlineStr">
        <is>
          <t>Endereço</t>
        </is>
      </c>
      <c r="C4" s="18" t="inlineStr">
        <is>
          <t>Bairro</t>
        </is>
      </c>
      <c r="D4" s="18" t="inlineStr">
        <is>
          <t>Tipo</t>
        </is>
      </c>
      <c r="E4" s="18" t="inlineStr">
        <is>
          <t>Contrato</t>
        </is>
      </c>
    </row>
    <row r="5">
      <c r="A5" s="37" t="inlineStr">
        <is>
          <t>I01</t>
        </is>
      </c>
      <c r="B5" s="37" t="inlineStr">
        <is>
          <t>Rua Exemplo A, 100, ap. 32</t>
        </is>
      </c>
      <c r="C5" s="37" t="inlineStr">
        <is>
          <t>Batel</t>
        </is>
      </c>
      <c r="D5" s="37" t="inlineStr">
        <is>
          <t>Apartamento</t>
        </is>
      </c>
      <c r="E5" s="19">
        <f>IFERROR(INDEX(Contratos!$A$5:$A$9,MATCH(A5,Contratos!$B$5:$B$9,0)),"Vago")</f>
        <v/>
      </c>
    </row>
    <row r="6">
      <c r="A6" s="37" t="inlineStr">
        <is>
          <t>I02</t>
        </is>
      </c>
      <c r="B6" s="37" t="inlineStr">
        <is>
          <t>Rua Exemplo B, 250</t>
        </is>
      </c>
      <c r="C6" s="37" t="inlineStr">
        <is>
          <t>Água Verde</t>
        </is>
      </c>
      <c r="D6" s="37" t="inlineStr">
        <is>
          <t>Casa</t>
        </is>
      </c>
      <c r="E6" s="19">
        <f>IFERROR(INDEX(Contratos!$A$5:$A$9,MATCH(A6,Contratos!$B$5:$B$9,0)),"Vago")</f>
        <v/>
      </c>
    </row>
    <row r="7">
      <c r="A7" s="37" t="inlineStr">
        <is>
          <t>I03</t>
        </is>
      </c>
      <c r="B7" s="37" t="inlineStr">
        <is>
          <t>Rua Exemplo C, 45, sala 4</t>
        </is>
      </c>
      <c r="C7" s="37" t="inlineStr">
        <is>
          <t>Centro</t>
        </is>
      </c>
      <c r="D7" s="37" t="inlineStr">
        <is>
          <t>Sala comercial</t>
        </is>
      </c>
      <c r="E7" s="19">
        <f>IFERROR(INDEX(Contratos!$A$5:$A$9,MATCH(A7,Contratos!$B$5:$B$9,0)),"Vago")</f>
        <v/>
      </c>
    </row>
    <row r="8">
      <c r="A8" s="37" t="inlineStr">
        <is>
          <t>I04</t>
        </is>
      </c>
      <c r="B8" s="37" t="inlineStr">
        <is>
          <t>Rua Exemplo D, 780, ap. 101</t>
        </is>
      </c>
      <c r="C8" s="37" t="inlineStr">
        <is>
          <t>Bigorrilho</t>
        </is>
      </c>
      <c r="D8" s="37" t="inlineStr">
        <is>
          <t>Apartamento</t>
        </is>
      </c>
      <c r="E8" s="19">
        <f>IFERROR(INDEX(Contratos!$A$5:$A$9,MATCH(A8,Contratos!$B$5:$B$9,0)),"Vago")</f>
        <v/>
      </c>
    </row>
    <row r="9">
      <c r="A9" s="37" t="inlineStr">
        <is>
          <t>I05</t>
        </is>
      </c>
      <c r="B9" s="37" t="inlineStr">
        <is>
          <t>Rua Exemplo E, 15</t>
        </is>
      </c>
      <c r="C9" s="37" t="inlineStr">
        <is>
          <t>Portão</t>
        </is>
      </c>
      <c r="D9" s="37" t="inlineStr">
        <is>
          <t>Casa</t>
        </is>
      </c>
      <c r="E9" s="19">
        <f>IFERROR(INDEX(Contratos!$A$5:$A$9,MATCH(A9,Contratos!$B$5:$B$9,0)),"Vago")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4" customWidth="1" min="3" max="3"/>
    <col width="13" customWidth="1" min="4" max="4"/>
  </cols>
  <sheetData>
    <row r="1">
      <c r="A1" s="1" t="inlineStr">
        <is>
          <t>Despesas do proprietário</t>
        </is>
      </c>
    </row>
    <row r="2">
      <c r="A2" s="2" t="inlineStr">
        <is>
          <t>Pagas pela administradora e descontadas no repasse.</t>
        </is>
      </c>
    </row>
    <row r="4" ht="32" customHeight="1">
      <c r="A4" s="18" t="inlineStr">
        <is>
          <t>Data</t>
        </is>
      </c>
      <c r="B4" s="18" t="inlineStr">
        <is>
          <t>Imóvel</t>
        </is>
      </c>
      <c r="C4" s="18" t="inlineStr">
        <is>
          <t>Descrição</t>
        </is>
      </c>
      <c r="D4" s="18" t="inlineStr">
        <is>
          <t>Valor (R$)</t>
        </is>
      </c>
    </row>
    <row r="5">
      <c r="A5" s="36" t="n">
        <v>46223</v>
      </c>
      <c r="B5" s="37" t="inlineStr">
        <is>
          <t>I04</t>
        </is>
      </c>
      <c r="C5" s="37" t="inlineStr">
        <is>
          <t>Seguro incêndio anual</t>
        </is>
      </c>
      <c r="D5" s="38" t="n">
        <v>380</v>
      </c>
    </row>
    <row r="6">
      <c r="A6" s="36" t="n">
        <v>46246</v>
      </c>
      <c r="B6" s="37" t="inlineStr">
        <is>
          <t>I02</t>
        </is>
      </c>
      <c r="C6" s="37" t="inlineStr">
        <is>
          <t>Reparo hidráulico</t>
        </is>
      </c>
      <c r="D6" s="38" t="n">
        <v>450</v>
      </c>
    </row>
    <row r="7">
      <c r="A7" s="36" t="n">
        <v>46283</v>
      </c>
      <c r="B7" s="37" t="inlineStr">
        <is>
          <t>I03</t>
        </is>
      </c>
      <c r="C7" s="37" t="inlineStr">
        <is>
          <t>Pintura da fachada (parte do proprietário)</t>
        </is>
      </c>
      <c r="D7" s="38" t="n">
        <v>1200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52" customWidth="1" min="4" max="4"/>
    <col width="13" customWidth="1" min="5" max="5"/>
    <col width="14" customWidth="1" min="6" max="6"/>
    <col width="16" customWidth="1" min="7" max="7"/>
  </cols>
  <sheetData>
    <row r="1">
      <c r="A1" s="1" t="inlineStr">
        <is>
          <t>Custos da cobrança judicial</t>
        </is>
      </c>
    </row>
    <row r="2">
      <c r="A2" s="2" t="inlineStr">
        <is>
          <t>Custas, honorários e diligências de cada processo. Os pagos pelo proprietário são descontados no repasse.</t>
        </is>
      </c>
    </row>
    <row r="4" ht="32" customHeight="1">
      <c r="A4" s="18" t="inlineStr">
        <is>
          <t>Data</t>
        </is>
      </c>
      <c r="B4" s="18" t="inlineStr">
        <is>
          <t>Imóvel</t>
        </is>
      </c>
      <c r="C4" s="18" t="inlineStr">
        <is>
          <t>Contrato</t>
        </is>
      </c>
      <c r="D4" s="18" t="inlineStr">
        <is>
          <t>Descrição</t>
        </is>
      </c>
      <c r="E4" s="18" t="inlineStr">
        <is>
          <t>Valor (R$)</t>
        </is>
      </c>
      <c r="F4" s="18" t="inlineStr">
        <is>
          <t>Pago por</t>
        </is>
      </c>
      <c r="G4" s="18" t="inlineStr">
        <is>
          <t>Reembolsável pelo inquilino?</t>
        </is>
      </c>
    </row>
    <row r="5">
      <c r="A5" s="36" t="n">
        <v>46310</v>
      </c>
      <c r="B5" s="37" t="inlineStr">
        <is>
          <t>I05</t>
        </is>
      </c>
      <c r="C5" s="19">
        <f>IFERROR(INDEX(Contratos!$A$5:$A$9,MATCH(B5,Contratos!$B$5:$B$9,0)),"")</f>
        <v/>
      </c>
      <c r="D5" s="37" t="inlineStr">
        <is>
          <t>Custas iniciais da ação de despejo por falta de pagamento</t>
        </is>
      </c>
      <c r="E5" s="38" t="n">
        <v>480</v>
      </c>
      <c r="F5" s="37" t="inlineStr">
        <is>
          <t>Proprietário</t>
        </is>
      </c>
      <c r="G5" s="37" t="inlineStr">
        <is>
          <t>Sim</t>
        </is>
      </c>
    </row>
    <row r="6">
      <c r="A6" s="36" t="n">
        <v>46310</v>
      </c>
      <c r="B6" s="37" t="inlineStr">
        <is>
          <t>I05</t>
        </is>
      </c>
      <c r="C6" s="19">
        <f>IFERROR(INDEX(Contratos!$A$5:$A$9,MATCH(B6,Contratos!$B$5:$B$9,0)),"")</f>
        <v/>
      </c>
      <c r="D6" s="37" t="inlineStr">
        <is>
          <t>Honorários advocatícios contratuais (entrada)</t>
        </is>
      </c>
      <c r="E6" s="38" t="n">
        <v>1500</v>
      </c>
      <c r="F6" s="37" t="inlineStr">
        <is>
          <t>Proprietário</t>
        </is>
      </c>
      <c r="G6" s="37" t="inlineStr">
        <is>
          <t>Não</t>
        </is>
      </c>
    </row>
    <row r="7">
      <c r="A7" s="36" t="n">
        <v>46317</v>
      </c>
      <c r="B7" s="37" t="inlineStr">
        <is>
          <t>I05</t>
        </is>
      </c>
      <c r="C7" s="19">
        <f>IFERROR(INDEX(Contratos!$A$5:$A$9,MATCH(B7,Contratos!$B$5:$B$9,0)),"")</f>
        <v/>
      </c>
      <c r="D7" s="37" t="inlineStr">
        <is>
          <t>Diligência do oficial de justiça (citação)</t>
        </is>
      </c>
      <c r="E7" s="38" t="n">
        <v>95</v>
      </c>
      <c r="F7" s="37" t="inlineStr">
        <is>
          <t>Proprietário</t>
        </is>
      </c>
      <c r="G7" s="37" t="inlineStr">
        <is>
          <t>Sim</t>
        </is>
      </c>
    </row>
    <row r="9">
      <c r="D9" s="6" t="inlineStr">
        <is>
          <t>Total</t>
        </is>
      </c>
      <c r="E9" s="42">
        <f>SUM(E5:E8)</f>
        <v/>
      </c>
    </row>
    <row r="10">
      <c r="D10" t="inlineStr">
        <is>
          <t>Reembolsável pelo inquilino (pedir na ação)</t>
        </is>
      </c>
      <c r="E10" s="35">
        <f>SUMIFS(E5:E8,G5:G8,"Sim")</f>
        <v/>
      </c>
    </row>
    <row r="12">
      <c r="A12" s="2" t="inlineStr">
        <is>
          <t>Os valores reembolsáveis dependem da decisão judicial e do contrato; confirme com o advogado responsável.</t>
        </is>
      </c>
    </row>
  </sheetData>
  <dataValidations count="2">
    <dataValidation sqref="F5:F200" showDropDown="0" showInputMessage="0" showErrorMessage="0" allowBlank="1" type="list">
      <formula1>"Proprietário,Administradora"</formula1>
    </dataValidation>
    <dataValidation sqref="G5:G200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8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Proprietários e participação</t>
        </is>
      </c>
    </row>
    <row r="2">
      <c r="A2" s="2" t="inlineStr">
        <is>
          <t>Percentual de cada proprietário em cada imóvel. O líquido segue a participação.</t>
        </is>
      </c>
    </row>
    <row r="3">
      <c r="H3" s="6" t="inlineStr">
        <is>
          <t>Participação (%)</t>
        </is>
      </c>
    </row>
    <row r="4" ht="32" customHeight="1">
      <c r="A4" s="18" t="inlineStr">
        <is>
          <t>Proprietário</t>
        </is>
      </c>
      <c r="B4" s="18" t="inlineStr">
        <is>
          <t>Participação por imóvel</t>
        </is>
      </c>
      <c r="C4" s="43" t="n"/>
      <c r="D4" s="18" t="inlineStr">
        <is>
          <t>Líquido acumulado (R$)</t>
        </is>
      </c>
      <c r="E4" s="18" t="inlineStr">
        <is>
          <t>Já repassado (R$)</t>
        </is>
      </c>
      <c r="F4" s="18" t="inlineStr">
        <is>
          <t>A repassar (R$)</t>
        </is>
      </c>
      <c r="H4" s="44" t="inlineStr">
        <is>
          <t>I01</t>
        </is>
      </c>
      <c r="I4" s="44" t="inlineStr">
        <is>
          <t>I02</t>
        </is>
      </c>
      <c r="J4" s="44" t="inlineStr">
        <is>
          <t>I03</t>
        </is>
      </c>
      <c r="K4" s="44" t="inlineStr">
        <is>
          <t>I04</t>
        </is>
      </c>
      <c r="L4" s="44" t="inlineStr">
        <is>
          <t>I05</t>
        </is>
      </c>
    </row>
    <row r="5">
      <c r="A5" s="37" t="inlineStr">
        <is>
          <t>Ana P.</t>
        </is>
      </c>
      <c r="B5" s="10">
        <f>TEXT(H5,"0%")&amp;" / "&amp;TEXT(I5,"0%")&amp;" / "&amp;TEXT(J5,"0%")&amp;" / "&amp;TEXT(K5,"0%")&amp;" / "&amp;TEXT(L5,"0%")</f>
        <v/>
      </c>
      <c r="C5" s="10" t="n"/>
      <c r="D5" s="11">
        <f>SUMPRODUCT(H5:L5,$H$11:$L$11)</f>
        <v/>
      </c>
      <c r="E5" s="11">
        <f>SUMIFS(Repasses!$C$5:$C$200,Repasses!$B$5:$B$200,A5)</f>
        <v/>
      </c>
      <c r="F5" s="11">
        <f>ROUND(D5-E5,2)</f>
        <v/>
      </c>
      <c r="H5" s="45" t="n">
        <v>1</v>
      </c>
      <c r="I5" s="45" t="n">
        <v>0.5</v>
      </c>
      <c r="J5" s="45" t="n">
        <v>0</v>
      </c>
      <c r="K5" s="45" t="n">
        <v>0</v>
      </c>
      <c r="L5" s="45" t="n">
        <v>1</v>
      </c>
    </row>
    <row r="6">
      <c r="A6" s="37" t="inlineStr">
        <is>
          <t>Bruno S.</t>
        </is>
      </c>
      <c r="B6" s="10">
        <f>TEXT(H6,"0%")&amp;" / "&amp;TEXT(I6,"0%")&amp;" / "&amp;TEXT(J6,"0%")&amp;" / "&amp;TEXT(K6,"0%")&amp;" / "&amp;TEXT(L6,"0%")</f>
        <v/>
      </c>
      <c r="C6" s="10" t="n"/>
      <c r="D6" s="11">
        <f>SUMPRODUCT(H6:L6,$H$11:$L$11)</f>
        <v/>
      </c>
      <c r="E6" s="11">
        <f>SUMIFS(Repasses!$C$5:$C$200,Repasses!$B$5:$B$200,A6)</f>
        <v/>
      </c>
      <c r="F6" s="11">
        <f>ROUND(D6-E6,2)</f>
        <v/>
      </c>
      <c r="H6" s="45" t="n">
        <v>0</v>
      </c>
      <c r="I6" s="45" t="n">
        <v>0.5</v>
      </c>
      <c r="J6" s="45" t="n">
        <v>0</v>
      </c>
      <c r="K6" s="45" t="n">
        <v>0.6</v>
      </c>
      <c r="L6" s="45" t="n">
        <v>0</v>
      </c>
    </row>
    <row r="7">
      <c r="A7" s="37" t="inlineStr">
        <is>
          <t>Carlos M.</t>
        </is>
      </c>
      <c r="B7" s="10">
        <f>TEXT(H7,"0%")&amp;" / "&amp;TEXT(I7,"0%")&amp;" / "&amp;TEXT(J7,"0%")&amp;" / "&amp;TEXT(K7,"0%")&amp;" / "&amp;TEXT(L7,"0%")</f>
        <v/>
      </c>
      <c r="C7" s="10" t="n"/>
      <c r="D7" s="11">
        <f>SUMPRODUCT(H7:L7,$H$11:$L$11)</f>
        <v/>
      </c>
      <c r="E7" s="11">
        <f>SUMIFS(Repasses!$C$5:$C$200,Repasses!$B$5:$B$200,A7)</f>
        <v/>
      </c>
      <c r="F7" s="11">
        <f>ROUND(D7-E7,2)</f>
        <v/>
      </c>
      <c r="H7" s="45" t="n">
        <v>0</v>
      </c>
      <c r="I7" s="45" t="n">
        <v>0</v>
      </c>
      <c r="J7" s="45" t="n">
        <v>1</v>
      </c>
      <c r="K7" s="45" t="n">
        <v>0.4</v>
      </c>
      <c r="L7" s="45" t="n">
        <v>0</v>
      </c>
    </row>
    <row r="8">
      <c r="A8" t="inlineStr">
        <is>
          <t>Soma da participação (deve ser 100%)</t>
        </is>
      </c>
      <c r="H8" s="46">
        <f>SUM(H5:H7)</f>
        <v/>
      </c>
      <c r="I8" s="46">
        <f>SUM(I5:I7)</f>
        <v/>
      </c>
      <c r="J8" s="46">
        <f>SUM(J5:J7)</f>
        <v/>
      </c>
      <c r="K8" s="46">
        <f>SUM(K5:K7)</f>
        <v/>
      </c>
      <c r="L8" s="46">
        <f>SUM(L5:L7)</f>
        <v/>
      </c>
    </row>
    <row r="9">
      <c r="A9" s="6" t="inlineStr">
        <is>
          <t>Total</t>
        </is>
      </c>
      <c r="D9" s="42">
        <f>SUM(D5:D7)</f>
        <v/>
      </c>
      <c r="E9" s="42">
        <f>SUM(E5:E7)</f>
        <v/>
      </c>
      <c r="F9" s="42">
        <f>SUM(F5:F7)</f>
        <v/>
      </c>
    </row>
    <row r="11">
      <c r="G11" t="inlineStr">
        <is>
          <t>Líquido por imóvel</t>
        </is>
      </c>
      <c r="H11" s="47">
        <f>Painel!I19</f>
        <v/>
      </c>
      <c r="I11" s="47">
        <f>Painel!I20</f>
        <v/>
      </c>
      <c r="J11" s="47">
        <f>Painel!I21</f>
        <v/>
      </c>
      <c r="K11" s="47">
        <f>Painel!I22</f>
        <v/>
      </c>
      <c r="L11" s="47">
        <f>Painel!I23</f>
        <v/>
      </c>
    </row>
  </sheetData>
  <mergeCells count="4">
    <mergeCell ref="B6:C6"/>
    <mergeCell ref="B5:C5"/>
    <mergeCell ref="B4:C4"/>
    <mergeCell ref="B7:C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24" customWidth="1" min="4" max="4"/>
  </cols>
  <sheetData>
    <row r="1">
      <c r="A1" s="1" t="inlineStr">
        <is>
          <t>Repasses feitos</t>
        </is>
      </c>
    </row>
    <row r="2">
      <c r="A2" s="2" t="inlineStr">
        <is>
          <t>Lance cada transferência feita ao proprietário.</t>
        </is>
      </c>
    </row>
    <row r="4" ht="32" customHeight="1">
      <c r="A4" s="18" t="inlineStr">
        <is>
          <t>Data</t>
        </is>
      </c>
      <c r="B4" s="18" t="inlineStr">
        <is>
          <t>Proprietário</t>
        </is>
      </c>
      <c r="C4" s="18" t="inlineStr">
        <is>
          <t>Valor (R$)</t>
        </is>
      </c>
      <c r="D4" s="18" t="inlineStr">
        <is>
          <t>Referência</t>
        </is>
      </c>
    </row>
    <row r="5">
      <c r="A5" s="36" t="n">
        <v>46249</v>
      </c>
      <c r="B5" s="37" t="inlineStr">
        <is>
          <t>Ana P.</t>
        </is>
      </c>
      <c r="C5" s="38" t="n">
        <v>6165</v>
      </c>
      <c r="D5" s="37" t="inlineStr">
        <is>
          <t>Repasse de 07/2026</t>
        </is>
      </c>
    </row>
    <row r="6">
      <c r="A6" s="36" t="n">
        <v>46249</v>
      </c>
      <c r="B6" s="37" t="inlineStr">
        <is>
          <t>Bruno S.</t>
        </is>
      </c>
      <c r="C6" s="38" t="n">
        <v>3615</v>
      </c>
      <c r="D6" s="37" t="inlineStr">
        <is>
          <t>Repasse de 07/2026</t>
        </is>
      </c>
    </row>
    <row r="7">
      <c r="A7" s="36" t="n">
        <v>46249</v>
      </c>
      <c r="B7" s="37" t="inlineStr">
        <is>
          <t>Carlos M.</t>
        </is>
      </c>
      <c r="C7" s="38" t="n">
        <v>3070</v>
      </c>
      <c r="D7" s="37" t="inlineStr">
        <is>
          <t>Repasse de 07/2026</t>
        </is>
      </c>
    </row>
    <row r="8">
      <c r="A8" s="36" t="n">
        <v>46280</v>
      </c>
      <c r="B8" s="37" t="inlineStr">
        <is>
          <t>Ana P.</t>
        </is>
      </c>
      <c r="C8" s="38" t="n">
        <v>3870</v>
      </c>
      <c r="D8" s="37" t="inlineStr">
        <is>
          <t>Repasse de 08/2026</t>
        </is>
      </c>
    </row>
    <row r="9">
      <c r="A9" s="36" t="n">
        <v>46280</v>
      </c>
      <c r="B9" s="37" t="inlineStr">
        <is>
          <t>Bruno S.</t>
        </is>
      </c>
      <c r="C9" s="38" t="n">
        <v>3618</v>
      </c>
      <c r="D9" s="37" t="inlineStr">
        <is>
          <t>Repasse de 08/2026</t>
        </is>
      </c>
    </row>
    <row r="10">
      <c r="A10" s="36" t="n">
        <v>46280</v>
      </c>
      <c r="B10" s="37" t="inlineStr">
        <is>
          <t>Carlos M.</t>
        </is>
      </c>
      <c r="C10" s="38" t="n">
        <v>3222</v>
      </c>
      <c r="D10" s="37" t="inlineStr">
        <is>
          <t>Repasse de 08/2026</t>
        </is>
      </c>
    </row>
    <row r="11">
      <c r="A11" s="36" t="n">
        <v>46310</v>
      </c>
      <c r="B11" s="37" t="inlineStr">
        <is>
          <t>Ana P.</t>
        </is>
      </c>
      <c r="C11" s="38" t="n">
        <v>4095</v>
      </c>
      <c r="D11" s="37" t="inlineStr">
        <is>
          <t>Repasse de 09/2026</t>
        </is>
      </c>
    </row>
    <row r="12">
      <c r="A12" s="36" t="n">
        <v>46310</v>
      </c>
      <c r="B12" s="37" t="inlineStr">
        <is>
          <t>Bruno S.</t>
        </is>
      </c>
      <c r="C12" s="38" t="n">
        <v>4071.31</v>
      </c>
      <c r="D12" s="37" t="inlineStr">
        <is>
          <t>Repasse de 09/2026</t>
        </is>
      </c>
    </row>
    <row r="13">
      <c r="A13" s="36" t="n">
        <v>46310</v>
      </c>
      <c r="B13" s="37" t="inlineStr">
        <is>
          <t>Carlos M.</t>
        </is>
      </c>
      <c r="C13" s="38" t="n">
        <v>2174.21</v>
      </c>
      <c r="D13" s="37" t="inlineStr">
        <is>
          <t>Repasse de 09/2026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60" customWidth="1" min="3" max="3"/>
  </cols>
  <sheetData>
    <row r="1">
      <c r="A1" s="1" t="inlineStr">
        <is>
          <t>Parâmetros</t>
        </is>
      </c>
    </row>
    <row r="2">
      <c r="A2" s="2" t="inlineStr">
        <is>
          <t>Células amarelas podem ser alteradas; todas as abas recalculam.</t>
        </is>
      </c>
    </row>
    <row r="3" ht="32" customHeight="1">
      <c r="A3" s="18" t="inlineStr">
        <is>
          <t>Parâmetro</t>
        </is>
      </c>
      <c r="B3" s="18" t="inlineStr">
        <is>
          <t>Valor</t>
        </is>
      </c>
      <c r="C3" s="18" t="inlineStr">
        <is>
          <t>Observação</t>
        </is>
      </c>
    </row>
    <row r="4">
      <c r="A4" s="10" t="inlineStr">
        <is>
          <t>Data de referência</t>
        </is>
      </c>
      <c r="B4" s="48" t="n">
        <v>46323</v>
      </c>
      <c r="C4" s="10" t="inlineStr">
        <is>
          <t>Data usada para calcular atrasos e o que já venceu</t>
        </is>
      </c>
    </row>
    <row r="5">
      <c r="A5" s="10" t="inlineStr">
        <is>
          <t>Multa por atraso</t>
        </is>
      </c>
      <c r="B5" s="49" t="n">
        <v>0.1</v>
      </c>
      <c r="C5" s="10" t="inlineStr">
        <is>
          <t>Sobre o valor do aluguel, conforme contrato</t>
        </is>
      </c>
    </row>
    <row r="6">
      <c r="A6" s="10" t="inlineStr">
        <is>
          <t>Juros de mora ao mês</t>
        </is>
      </c>
      <c r="B6" s="50" t="n">
        <v>0.01</v>
      </c>
      <c r="C6" s="10" t="inlineStr">
        <is>
          <t>Pro rata die: juros/30 por dia de atraso</t>
        </is>
      </c>
    </row>
    <row r="7">
      <c r="A7" s="10" t="inlineStr">
        <is>
          <t>Dias de tolerância</t>
        </is>
      </c>
      <c r="B7" s="51" t="n">
        <v>0</v>
      </c>
      <c r="C7" s="10" t="inlineStr">
        <is>
          <t>Atraso até este número de dias não gera multa nem juros</t>
        </is>
      </c>
    </row>
    <row r="8">
      <c r="A8" s="10" t="inlineStr">
        <is>
          <t>Taxa de administração</t>
        </is>
      </c>
      <c r="B8" s="49" t="n">
        <v>0.1</v>
      </c>
      <c r="C8" s="10" t="inlineStr">
        <is>
          <t>Sobre o valor recebido; descontada no repasse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2026-10-28T20:43:56Z</dcterms:created>
  <dcterms:modified xmlns:dcterms="http://purl.org/dc/terms/" xmlns:xsi="http://www.w3.org/2001/XMLSchema-instance" xsi:type="dcterms:W3CDTF">2026-10-28T20:43:56Z</dcterms:modified>
</cp:coreProperties>
</file>